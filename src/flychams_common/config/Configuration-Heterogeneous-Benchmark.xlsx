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Mission" sheetId="1" state="visible" r:id="rId3"/>
    <sheet name="Environment" sheetId="2" state="visible" r:id="rId4"/>
    <sheet name="Target" sheetId="3" state="visible" r:id="rId5"/>
    <sheet name="Agent" sheetId="4" state="visible" r:id="rId6"/>
    <sheet name="Tracking" sheetId="5" state="visible" r:id="rId7"/>
    <sheet name="MultiCamera" sheetId="6" state="visible" r:id="rId8"/>
    <sheet name="MultiWindow" sheetId="7" state="visible" r:id="rId9"/>
    <sheet name="Drone" sheetId="8" state="visible" r:id="rId10"/>
    <sheet name="Camera" sheetId="9" state="visible" r:id="rId11"/>
    <sheet name="Gimbal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<sst xmlns="http://schemas.openxmlformats.org/spreadsheetml/2006/main" count="515" uniqueCount="266">
  <si>
    <t xml:space="preserve">GENERAL CONFIGURATION</t>
  </si>
  <si>
    <t xml:space="preserve">ID</t>
  </si>
  <si>
    <t xml:space="preserve">Name</t>
  </si>
  <si>
    <t xml:space="preserve">EnvironmentID</t>
  </si>
  <si>
    <t xml:space="preserve">TargetGroupID</t>
  </si>
  <si>
    <t xml:space="preserve">AgentTeamID</t>
  </si>
  <si>
    <t xml:space="preserve">HorizontalConstraint [m]</t>
  </si>
  <si>
    <t xml:space="preserve">VerticalConstraint [m]</t>
  </si>
  <si>
    <t xml:space="preserve">Autopilot</t>
  </si>
  <si>
    <t xml:space="preserve">StartDate</t>
  </si>
  <si>
    <t xml:space="preserve">StartHour</t>
  </si>
  <si>
    <t xml:space="preserve">MISSION00</t>
  </si>
  <si>
    <t xml:space="preserve">Homogeneus Configuration (A) Dispersed</t>
  </si>
  <si>
    <t xml:space="preserve">ENVIRONMENT00</t>
  </si>
  <si>
    <t xml:space="preserve">GROUP00</t>
  </si>
  <si>
    <t xml:space="preserve">TEAM00</t>
  </si>
  <si>
    <t xml:space="preserve">(-200.0, 200.0)</t>
  </si>
  <si>
    <t xml:space="preserve">(15.0, 150.0)</t>
  </si>
  <si>
    <t xml:space="preserve">PX4</t>
  </si>
  <si>
    <t xml:space="preserve">(13/12/2024)</t>
  </si>
  <si>
    <t xml:space="preserve">(16:30:00)</t>
  </si>
  <si>
    <t xml:space="preserve">MISSION01</t>
  </si>
  <si>
    <t xml:space="preserve">Homogeneus Configuration (B) Dispersed</t>
  </si>
  <si>
    <t xml:space="preserve">TEAM01</t>
  </si>
  <si>
    <t xml:space="preserve">MISSION02</t>
  </si>
  <si>
    <t xml:space="preserve">Heterogeneus Configuration Dispersed</t>
  </si>
  <si>
    <t xml:space="preserve">TEAM02</t>
  </si>
  <si>
    <t xml:space="preserve">MISSION03</t>
  </si>
  <si>
    <t xml:space="preserve">Homogeneus Configuration (A) Concentrated</t>
  </si>
  <si>
    <t xml:space="preserve">GROUP01</t>
  </si>
  <si>
    <t xml:space="preserve">MISSION04</t>
  </si>
  <si>
    <t xml:space="preserve">Homogeneus Configuration (B) Concentrated</t>
  </si>
  <si>
    <t xml:space="preserve">MISSION05</t>
  </si>
  <si>
    <t xml:space="preserve">Heterogeneus Configuration Concentrated</t>
  </si>
  <si>
    <t xml:space="preserve">MISSION06</t>
  </si>
  <si>
    <t xml:space="preserve">Homogeneus Configuration (A) Mixed</t>
  </si>
  <si>
    <t xml:space="preserve">GROUP02</t>
  </si>
  <si>
    <t xml:space="preserve">X</t>
  </si>
  <si>
    <t xml:space="preserve">MISSION07</t>
  </si>
  <si>
    <t xml:space="preserve">Homogeneus Configuration (B) Mixed</t>
  </si>
  <si>
    <t xml:space="preserve">MISSION08</t>
  </si>
  <si>
    <t xml:space="preserve">Heterogeneus Configuration Mixed</t>
  </si>
  <si>
    <t xml:space="preserve">Geopoint</t>
  </si>
  <si>
    <t xml:space="preserve">WindVel [m/s]</t>
  </si>
  <si>
    <t xml:space="preserve">Operational Conditions O1</t>
  </si>
  <si>
    <t xml:space="preserve">(lat=35.9865559, lon=-5.8930106, alt=0.0)</t>
  </si>
  <si>
    <t xml:space="preserve">(Vx=3.0, Vy=1.5, Vz=0.0)</t>
  </si>
  <si>
    <t xml:space="preserve">ENVIRONMENT01</t>
  </si>
  <si>
    <t xml:space="preserve">Operational Conditions O2</t>
  </si>
  <si>
    <t xml:space="preserve">(Vx=4.0, Vy=3.5, Vz=0.0)</t>
  </si>
  <si>
    <t xml:space="preserve">Type</t>
  </si>
  <si>
    <t xml:space="preserve">Count</t>
  </si>
  <si>
    <t xml:space="preserve">Priority</t>
  </si>
  <si>
    <t xml:space="preserve">TrajectoryFolder</t>
  </si>
  <si>
    <t xml:space="preserve">TARGET00</t>
  </si>
  <si>
    <t xml:space="preserve">Dispersed Configuration (6 Clusters)</t>
  </si>
  <si>
    <t xml:space="preserve">Human</t>
  </si>
  <si>
    <t xml:space="preserve">High</t>
  </si>
  <si>
    <t xml:space="preserve">Dispersed</t>
  </si>
  <si>
    <t xml:space="preserve">TARGET01</t>
  </si>
  <si>
    <t xml:space="preserve">Concentrated Configuration (6 Clusters)</t>
  </si>
  <si>
    <t xml:space="preserve">Concentrated</t>
  </si>
  <si>
    <t xml:space="preserve">TARGET02</t>
  </si>
  <si>
    <t xml:space="preserve">Mixed Configuration (6 Clusters)</t>
  </si>
  <si>
    <t xml:space="preserve">Mixed</t>
  </si>
  <si>
    <t xml:space="preserve">AGENT CONFIGURATION</t>
  </si>
  <si>
    <t xml:space="preserve">TrackingID</t>
  </si>
  <si>
    <t xml:space="preserve">DroneID</t>
  </si>
  <si>
    <t xml:space="preserve">Position [m]</t>
  </si>
  <si>
    <t xml:space="preserve">Orientation [°]</t>
  </si>
  <si>
    <t xml:space="preserve">MaxAltitude [m]</t>
  </si>
  <si>
    <t xml:space="preserve">SafetyRadius [m]</t>
  </si>
  <si>
    <t xml:space="preserve">BatteryCapacity [mAh]</t>
  </si>
  <si>
    <t xml:space="preserve">AGENT00</t>
  </si>
  <si>
    <t xml:space="preserve">Type A Agent Homogeneus 1</t>
  </si>
  <si>
    <t xml:space="preserve">TRACKING00</t>
  </si>
  <si>
    <t xml:space="preserve">DRONE00</t>
  </si>
  <si>
    <t xml:space="preserve">(X=10.0, Y=0.0, Z=0.0)</t>
  </si>
  <si>
    <t xml:space="preserve">(Roll=0.0, Pitch=0.0, Yaw=0.0)</t>
  </si>
  <si>
    <t xml:space="preserve">AGENT01</t>
  </si>
  <si>
    <t xml:space="preserve">Type A Agent Homogeneus 2</t>
  </si>
  <si>
    <t xml:space="preserve">TRACKING01</t>
  </si>
  <si>
    <t xml:space="preserve">(X=-10.0, Y=0.0, Z=0.0)</t>
  </si>
  <si>
    <t xml:space="preserve">AGENT02</t>
  </si>
  <si>
    <t xml:space="preserve">Type A Agent Homogeneus 3</t>
  </si>
  <si>
    <t xml:space="preserve">TRACKING02</t>
  </si>
  <si>
    <t xml:space="preserve">(X=0.0, Y=10.0, Z=0.0)</t>
  </si>
  <si>
    <t xml:space="preserve">AGENT03</t>
  </si>
  <si>
    <t xml:space="preserve">Type B Agent Homogeneus 1</t>
  </si>
  <si>
    <t xml:space="preserve">TRACKING03</t>
  </si>
  <si>
    <t xml:space="preserve">AGENT04</t>
  </si>
  <si>
    <t xml:space="preserve">Type B Agent Homogeneus 2</t>
  </si>
  <si>
    <t xml:space="preserve">TRACKING04</t>
  </si>
  <si>
    <t xml:space="preserve">AGENT05</t>
  </si>
  <si>
    <t xml:space="preserve">Type B Agent Homogeneus 3</t>
  </si>
  <si>
    <t xml:space="preserve">TRACKING05</t>
  </si>
  <si>
    <t xml:space="preserve">AGENT06</t>
  </si>
  <si>
    <t xml:space="preserve">Type A Agent Heterogeneus</t>
  </si>
  <si>
    <t xml:space="preserve">TRACKING06</t>
  </si>
  <si>
    <t xml:space="preserve">AGENT07</t>
  </si>
  <si>
    <t xml:space="preserve">Type B Agent Heterogeneus</t>
  </si>
  <si>
    <t xml:space="preserve">TRACKING07</t>
  </si>
  <si>
    <t xml:space="preserve">ObservationSetID</t>
  </si>
  <si>
    <t xml:space="preserve">MinTargetSize</t>
  </si>
  <si>
    <t xml:space="preserve">MaxTargetSize</t>
  </si>
  <si>
    <t xml:space="preserve">RefTargetSize</t>
  </si>
  <si>
    <t xml:space="preserve">Multi-Camera 1 Tracking (2 Cameras)</t>
  </si>
  <si>
    <t xml:space="preserve">SET00</t>
  </si>
  <si>
    <t xml:space="preserve">Multi-Camera 2 Tracking (2 Cameras)</t>
  </si>
  <si>
    <t xml:space="preserve">SET01</t>
  </si>
  <si>
    <t xml:space="preserve">Multi-Camera 3 Tracking (2 Cameras)</t>
  </si>
  <si>
    <t xml:space="preserve">SET02</t>
  </si>
  <si>
    <t xml:space="preserve">Multi-Window 1 Tracking (2 Windows)</t>
  </si>
  <si>
    <t xml:space="preserve">SET03</t>
  </si>
  <si>
    <t xml:space="preserve">Multi-Window 2 Tracking (2 Windows)</t>
  </si>
  <si>
    <t xml:space="preserve">SET04</t>
  </si>
  <si>
    <t xml:space="preserve">Multi-Window 3 Tracking (2 Windows)</t>
  </si>
  <si>
    <t xml:space="preserve">SET05</t>
  </si>
  <si>
    <t xml:space="preserve">Multi-Camera 1 Tracking (3 Cameras)</t>
  </si>
  <si>
    <t xml:space="preserve">SET06</t>
  </si>
  <si>
    <t xml:space="preserve">Multi-Window 2 Tracking (3 Windows)</t>
  </si>
  <si>
    <t xml:space="preserve">SET07</t>
  </si>
  <si>
    <t xml:space="preserve">CameraID</t>
  </si>
  <si>
    <t xml:space="preserve">GimbalID</t>
  </si>
  <si>
    <t xml:space="preserve">Role</t>
  </si>
  <si>
    <t xml:space="preserve">MinFocal [mm]</t>
  </si>
  <si>
    <t xml:space="preserve">MaxFocal [mm]</t>
  </si>
  <si>
    <t xml:space="preserve">RefFocal [mm]</t>
  </si>
  <si>
    <t xml:space="preserve">SourceStreamURL</t>
  </si>
  <si>
    <t xml:space="preserve">MULTICAMERA00</t>
  </si>
  <si>
    <t xml:space="preserve">Central Head 1 Multi-Camera (2 Cameras)</t>
  </si>
  <si>
    <t xml:space="preserve">CAM00</t>
  </si>
  <si>
    <t xml:space="preserve">GIM00</t>
  </si>
  <si>
    <t xml:space="preserve">Central</t>
  </si>
  <si>
    <t xml:space="preserve">(X=0.0, Y=0.0, Z=-0.08)</t>
  </si>
  <si>
    <t xml:space="preserve">(Roll=0.0, Pitch=90.0, Yaw=90.0)</t>
  </si>
  <si>
    <t xml:space="preserve">rtsp://127.0.0.1:8554/AGENT00/MULTICAMERA00</t>
  </si>
  <si>
    <t xml:space="preserve">MULTICAMERA01</t>
  </si>
  <si>
    <t xml:space="preserve">Tracking Head 1.1 Multi-Camera (2 Cameras)</t>
  </si>
  <si>
    <t xml:space="preserve">CAM01</t>
  </si>
  <si>
    <t xml:space="preserve">Tracking</t>
  </si>
  <si>
    <t xml:space="preserve">(X=0.19, Y=0.0, Z=-0.04)</t>
  </si>
  <si>
    <t xml:space="preserve">(Roll=0.0, Pitch=90.0, Yaw=0.0)</t>
  </si>
  <si>
    <t xml:space="preserve">rtsp://127.0.0.1:8554/AGENT00/MULTICAMERA01</t>
  </si>
  <si>
    <t xml:space="preserve">MULTICAMERA02</t>
  </si>
  <si>
    <t xml:space="preserve">Tracking Head 1.2 Multi-Camera (2 Cameras)</t>
  </si>
  <si>
    <t xml:space="preserve">(X=-0.19, Y=0.0, Z=-0.04)</t>
  </si>
  <si>
    <t xml:space="preserve">rtsp://127.0.0.1:8554/AGENT00/MULTICAMERA02</t>
  </si>
  <si>
    <t xml:space="preserve">MULTICAMERA03</t>
  </si>
  <si>
    <t xml:space="preserve">Central Head 2 Multi-Camera (2 Cameras)</t>
  </si>
  <si>
    <t xml:space="preserve">rtsp://127.0.0.1:8554/AGENT01/MULTICAMERA03</t>
  </si>
  <si>
    <t xml:space="preserve">MULTICAMERA04</t>
  </si>
  <si>
    <t xml:space="preserve">Tracking Head 2.1 Multi-Camera (2 Cameras)</t>
  </si>
  <si>
    <t xml:space="preserve">rtsp://127.0.0.1:8554/AGENT01/MULTICAMERA04</t>
  </si>
  <si>
    <t xml:space="preserve">MULTICAMERA05</t>
  </si>
  <si>
    <t xml:space="preserve">Tracking Head 2.2 Multi-Camera (2 Cameras)</t>
  </si>
  <si>
    <t xml:space="preserve">rtsp://127.0.0.1:8554/AGENT01/MULTICAMERA05</t>
  </si>
  <si>
    <t xml:space="preserve">MULTICAMERA06</t>
  </si>
  <si>
    <t xml:space="preserve">Central Head 3 Multi-Camera (2 Cameras)</t>
  </si>
  <si>
    <t xml:space="preserve">rtsp://127.0.0.1:8554/AGENT02/MULTICAMERA06</t>
  </si>
  <si>
    <t xml:space="preserve">MULTICAMERA07</t>
  </si>
  <si>
    <t xml:space="preserve">Tracking Head 3.1 Multi-Camera (2 Cameras)</t>
  </si>
  <si>
    <t xml:space="preserve">rtsp://127.0.0.1:8554/AGENT02/MULTICAMERA07</t>
  </si>
  <si>
    <t xml:space="preserve">MULTICAMERA08</t>
  </si>
  <si>
    <t xml:space="preserve">Tracking Head 3.2 Multi-Camera (2 Cameras)</t>
  </si>
  <si>
    <t xml:space="preserve">rtsp://127.0.0.1:8554/AGENT02/MULTICAMERA08</t>
  </si>
  <si>
    <t xml:space="preserve">MULTICAMERA09</t>
  </si>
  <si>
    <t xml:space="preserve">Central Head 1 Multi-Window (2 Windows)</t>
  </si>
  <si>
    <t xml:space="preserve">CAM02</t>
  </si>
  <si>
    <t xml:space="preserve">rtsp://127.0.0.1:8554/AGENT03/MULTICAMERA09</t>
  </si>
  <si>
    <t xml:space="preserve">MULTICAMERA10</t>
  </si>
  <si>
    <t xml:space="preserve">Central Head 2 Multi-Window (2 Windows)</t>
  </si>
  <si>
    <t xml:space="preserve">rtsp://127.0.0.1:8554/AGENT04/MULTICAMERA10</t>
  </si>
  <si>
    <t xml:space="preserve">MULTICAMERA11</t>
  </si>
  <si>
    <t xml:space="preserve">Central Head 3 Multi-Window (2 Windows)</t>
  </si>
  <si>
    <t xml:space="preserve">rtsp://127.0.0.1:8554/AGENT05/MULTICAMERA11</t>
  </si>
  <si>
    <t xml:space="preserve">MULTICAMERA12</t>
  </si>
  <si>
    <t xml:space="preserve">Central Head 1 Multi-Camera (3 Cameras)</t>
  </si>
  <si>
    <t xml:space="preserve">rtsp://127.0.0.1:8554/AGENT06/MULTICAMERA12</t>
  </si>
  <si>
    <t xml:space="preserve">MULTICAMERA13</t>
  </si>
  <si>
    <t xml:space="preserve">Tracking Head 1.1 Multi-Camera (3 Cameras)</t>
  </si>
  <si>
    <t xml:space="preserve">rtsp://127.0.0.1:8554/AGENT06/MULTICAMERA13</t>
  </si>
  <si>
    <t xml:space="preserve">MULTICAMERA14</t>
  </si>
  <si>
    <t xml:space="preserve">Tracking Head 1.2 Multi-Camera (3 Cameras)</t>
  </si>
  <si>
    <t xml:space="preserve">rtsp://127.0.0.1:8554/AGENT06/MULTICAMERA14</t>
  </si>
  <si>
    <t xml:space="preserve">MULTICAMERA15</t>
  </si>
  <si>
    <t xml:space="preserve">Tracking Head 1.3 Multi-Camera (3 Cameras)</t>
  </si>
  <si>
    <t xml:space="preserve">(X=0.0, Y=0.19, Z=-0.04)</t>
  </si>
  <si>
    <t xml:space="preserve">(Roll=0.0, Pitch=90.0, Yaw=180.0)</t>
  </si>
  <si>
    <t xml:space="preserve">rtsp://127.0.0.1:8554/AGENT06/MULTICAMERA15</t>
  </si>
  <si>
    <t xml:space="preserve">MULTICAMERA16</t>
  </si>
  <si>
    <t xml:space="preserve">Central Head 2 Multi-Window (3 Windows)</t>
  </si>
  <si>
    <t xml:space="preserve">rtsp://127.0.0.1:8554/AGENT07/MULTICAMERA16</t>
  </si>
  <si>
    <t xml:space="preserve">MinLambda</t>
  </si>
  <si>
    <t xml:space="preserve">MaxLambda</t>
  </si>
  <si>
    <t xml:space="preserve">RefLambda</t>
  </si>
  <si>
    <t xml:space="preserve">MULTIWINDOW00</t>
  </si>
  <si>
    <t xml:space="preserve">Tracking Window 1.1 Multi-Window (2 Windows)</t>
  </si>
  <si>
    <t xml:space="preserve">MULTIWINDOW01</t>
  </si>
  <si>
    <t xml:space="preserve">Tracking Window 1.2 Multi-Window (2 Windows)</t>
  </si>
  <si>
    <t xml:space="preserve">MULTIWINDOW02</t>
  </si>
  <si>
    <t xml:space="preserve">Tracking Window 2.1 Multi-Window (2 Windows)</t>
  </si>
  <si>
    <t xml:space="preserve">MULTIWINDOW03</t>
  </si>
  <si>
    <t xml:space="preserve">Tracking Window 2.2 Multi-Window (2 Windows)</t>
  </si>
  <si>
    <t xml:space="preserve">MULTIWINDOW04</t>
  </si>
  <si>
    <t xml:space="preserve">Tracking Window 3.1 Multi-Window (2 Windows)</t>
  </si>
  <si>
    <t xml:space="preserve">MULTIWINDOW05</t>
  </si>
  <si>
    <t xml:space="preserve">Tracking Window 3.2 Multi-Window (2 Windows)</t>
  </si>
  <si>
    <t xml:space="preserve">MULTIWINDOW06</t>
  </si>
  <si>
    <t xml:space="preserve">Tracking Window 2.1 Multi-Window (3 Windows)</t>
  </si>
  <si>
    <t xml:space="preserve">MULTIWINDOW07</t>
  </si>
  <si>
    <t xml:space="preserve">Tracking Window 2.2 Multi-Window (3 Windows)</t>
  </si>
  <si>
    <t xml:space="preserve">MULTIWINDOW08</t>
  </si>
  <si>
    <t xml:space="preserve">Tracking Window 2.3 Multi-Window (3 Windows)</t>
  </si>
  <si>
    <t xml:space="preserve">HARDWARE CATALOGS</t>
  </si>
  <si>
    <t xml:space="preserve">CruiseSpeed [m/s]</t>
  </si>
  <si>
    <t xml:space="preserve">MaxSpeed [m/s]</t>
  </si>
  <si>
    <t xml:space="preserve">EnableBarometer</t>
  </si>
  <si>
    <t xml:space="preserve">Barometer</t>
  </si>
  <si>
    <t xml:space="preserve">EnableIMU</t>
  </si>
  <si>
    <t xml:space="preserve">IMU</t>
  </si>
  <si>
    <t xml:space="preserve">EnableGPS</t>
  </si>
  <si>
    <t xml:space="preserve">GPS</t>
  </si>
  <si>
    <t xml:space="preserve">EnableMagnetometer</t>
  </si>
  <si>
    <t xml:space="preserve">Magnetometer</t>
  </si>
  <si>
    <t xml:space="preserve">BaseWeight [kg]</t>
  </si>
  <si>
    <t xml:space="preserve">MaxPayloadWeight [kg]</t>
  </si>
  <si>
    <t xml:space="preserve">HoverPower [W]</t>
  </si>
  <si>
    <t xml:space="preserve">CruisePower [W]</t>
  </si>
  <si>
    <t xml:space="preserve">LoadFactor [W/kg]</t>
  </si>
  <si>
    <t xml:space="preserve">x500</t>
  </si>
  <si>
    <t xml:space="preserve">Quadcopter</t>
  </si>
  <si>
    <t xml:space="preserve">(WhiteNoiseSigma=8.0)</t>
  </si>
  <si>
    <t xml:space="preserve">(AngularWhiteNoiseSigma=0.8, VelocityWhiteNoiseSigma=0.6)</t>
  </si>
  <si>
    <t xml:space="preserve">(EphIni=50, EpvIni=50, EphFin=2.0, EpvFin=2.0)</t>
  </si>
  <si>
    <t xml:space="preserve">(WhiteNoiseSigma=0.02, WhiteNoiseBias=0)</t>
  </si>
  <si>
    <t xml:space="preserve">Resolution [pix]</t>
  </si>
  <si>
    <t xml:space="preserve">SensorSize [mm]</t>
  </si>
  <si>
    <t xml:space="preserve">Distortion (K1, K2, K3, P1, P2)</t>
  </si>
  <si>
    <t xml:space="preserve">EnableSensorNoise</t>
  </si>
  <si>
    <t xml:space="preserve">SensorNoise</t>
  </si>
  <si>
    <t xml:space="preserve">Weight [kg]</t>
  </si>
  <si>
    <t xml:space="preserve">IdlePower [W]</t>
  </si>
  <si>
    <t xml:space="preserve">ActivePower [W]</t>
  </si>
  <si>
    <t xml:space="preserve">Low-Resolution Central Camera</t>
  </si>
  <si>
    <t xml:space="preserve">RGB</t>
  </si>
  <si>
    <t xml:space="preserve">(1280x720)</t>
  </si>
  <si>
    <t xml:space="preserve">(13.2x7.425)</t>
  </si>
  <si>
    <t xml:space="preserve">(-0.03, 0.002, 0.0, 0.0005, -0.0004)</t>
  </si>
  <si>
    <t xml:space="preserve">(RandContrib=0.001, RandSize=100, RandSpeed=50000)</t>
  </si>
  <si>
    <t xml:space="preserve">Low-Resolution Tracking Camera</t>
  </si>
  <si>
    <t xml:space="preserve">(960x540)</t>
  </si>
  <si>
    <t xml:space="preserve">High-Resolution Central Camera</t>
  </si>
  <si>
    <t xml:space="preserve">(3840x2160)</t>
  </si>
  <si>
    <t xml:space="preserve">(-0.08, 0.008, 0.0001, 0.002, -0.0015)</t>
  </si>
  <si>
    <t xml:space="preserve">(RandContrib=0.003, RandSize=200, RandSpeed=70000)</t>
  </si>
  <si>
    <t xml:space="preserve">EnableRoll</t>
  </si>
  <si>
    <t xml:space="preserve">Roll</t>
  </si>
  <si>
    <t xml:space="preserve">EnablePitch</t>
  </si>
  <si>
    <t xml:space="preserve">Pitch</t>
  </si>
  <si>
    <t xml:space="preserve">EnableYaw</t>
  </si>
  <si>
    <t xml:space="preserve">Yaw</t>
  </si>
  <si>
    <t xml:space="preserve">Default Gimbal</t>
  </si>
  <si>
    <t xml:space="preserve">(Min=-20.0, Max=20.0, Speed=180)</t>
  </si>
  <si>
    <t xml:space="preserve">(Min=-40.0, Max=130.0, Speed=180)</t>
  </si>
  <si>
    <t xml:space="preserve">(Min=-320.0, Max=320.0, Speed=270)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</si>
</sst>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:mm:ss"/>
    <numFmt numFmtId="166" formatCode="0"/>
    <numFmt numFmtId="167" formatCode="General"/>
  </numFmts>
  <fonts count="10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0000"/>
      <name val="Calibri"/>
      <family val="2"/>
      <charset val="1"/>
    </font>
    <font>
      <b val="true"/>
      <sz val="22"/>
      <color theme="2" tint="-0.75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4"/>
      <color theme="2" tint="-0.75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2"/>
      <color theme="2" tint="-0.75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theme="4" tint="0.3999"/>
        <bgColor rgb="FF969696"/>
      </patternFill>
    </fill>
    <fill>
      <patternFill patternType="solid">
        <fgColor theme="4" tint="0.7999"/>
        <bgColor rgb="FFDDE8CB"/>
      </patternFill>
    </fill>
    <fill>
      <patternFill patternType="solid">
        <fgColor rgb="FFAFD095"/>
        <bgColor rgb="FFDDE8CB"/>
      </patternFill>
    </fill>
    <fill>
      <patternFill patternType="solid">
        <fgColor rgb="FFDDE8CB"/>
        <bgColor rgb="FFDAE3F3"/>
      </patternFill>
    </fill>
    <fill>
      <patternFill patternType="solid">
        <fgColor theme="7" tint="0.3999"/>
        <bgColor rgb="FFFFFF99"/>
      </patternFill>
    </fill>
    <fill>
      <patternFill patternType="solid">
        <fgColor theme="7" tint="0.799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8FAAD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B3838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DDE8CB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8FAADC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2:J2" headerRowCount="1" totalsRowCount="0" totalsRowShown="0">
  <autoFilter ref="A2:J2"/>
  <tableColumns count="10">
    <tableColumn id="1" name="ID"/>
    <tableColumn id="2" name="Name"/>
    <tableColumn id="3" name="AgentTeamID"/>
    <tableColumn id="4" name="TrackingID"/>
    <tableColumn id="5" name="DroneID"/>
    <tableColumn id="6" name="Position [m]"/>
    <tableColumn id="7" name="Orientation [°]"/>
    <tableColumn id="8" name="MaxAltitude [m]"/>
    <tableColumn id="9" name="SafetyRadius [m]"/>
    <tableColumn id="10" name="BatteryCapacity [mAh]"/>
  </tableColumns>
</table>
</file>

<file path=xl/tables/table2.xml><?xml version="1.0" encoding="utf-8"?>
<table xmlns="http://schemas.openxmlformats.org/spreadsheetml/2006/main" id="2" name="Table210" displayName="Table210" ref="A2:J12" headerRowCount="1" totalsRowCount="0" totalsRowShown="0">
  <autoFilter ref="A2:J12"/>
  <tableColumns count="10">
    <tableColumn id="1" name="ID"/>
    <tableColumn id="2" name="Name"/>
    <tableColumn id="3" name="ObservationSetID"/>
    <tableColumn id="4" name="CameraID"/>
    <tableColumn id="5" name="GimbalID"/>
    <tableColumn id="6" name="Role"/>
    <tableColumn id="7" name="Position [m]"/>
    <tableColumn id="8" name="Orientation [°]"/>
    <tableColumn id="9" name="MinFocal [mm]"/>
    <tableColumn id="10" name="MaxFocal [mm]"/>
  </tableColumns>
</table>
</file>

<file path=xl/tables/table3.xml><?xml version="1.0" encoding="utf-8"?>
<table xmlns="http://schemas.openxmlformats.org/spreadsheetml/2006/main" id="3" name="Table210_2" displayName="Table210_2" ref="A2:F4" headerRowCount="1" totalsRowCount="0" totalsRowShown="0">
  <autoFilter ref="A2:F4"/>
  <tableColumns count="6">
    <tableColumn id="1" name="ID"/>
    <tableColumn id="2" name="Name"/>
    <tableColumn id="3" name="ObservationSetID"/>
    <tableColumn id="4" name="MinLambda"/>
    <tableColumn id="5" name="MaxLambda"/>
    <tableColumn id="6" name="RefLambda"/>
  </tableColumns>
</table>
</file>

<file path=xl/tables/table4.xml><?xml version="1.0" encoding="utf-8"?>
<table xmlns="http://schemas.openxmlformats.org/spreadsheetml/2006/main" id="4" name="Table29" displayName="Table29" ref="A2:K4" headerRowCount="1" totalsRowCount="0" totalsRowShown="0">
  <autoFilter ref="A2:K4"/>
  <tableColumns count="11">
    <tableColumn id="1" name="ID"/>
    <tableColumn id="2" name="Name"/>
    <tableColumn id="3" name="Type"/>
    <tableColumn id="4" name="Resolution [pix]"/>
    <tableColumn id="5" name="SensorSize [mm]"/>
    <tableColumn id="6" name="Distortion (K1, K2, K3, P1, P2)"/>
    <tableColumn id="7" name="EnableSensorNoise"/>
    <tableColumn id="8" name="SensorNoise"/>
    <tableColumn id="9" name="Weight [kg]"/>
    <tableColumn id="10" name="IdlePower [W]"/>
    <tableColumn id="11" name="ActivePower [W]"/>
  </tableColumns>
</table>
</file>

<file path=xl/tables/table5.xml><?xml version="1.0" encoding="utf-8"?>
<table xmlns="http://schemas.openxmlformats.org/spreadsheetml/2006/main" id="5" name="Table2911" displayName="Table2911" ref="A2:K3" headerRowCount="1" totalsRowCount="0" totalsRowShown="0">
  <autoFilter ref="A2:K3"/>
  <tableColumns count="11">
    <tableColumn id="1" name="ID"/>
    <tableColumn id="2" name="Name"/>
    <tableColumn id="3" name="EnableRoll"/>
    <tableColumn id="4" name="Roll"/>
    <tableColumn id="5" name="EnablePitch"/>
    <tableColumn id="6" name="Pitch"/>
    <tableColumn id="7" name="EnableYaw"/>
    <tableColumn id="8" name="Yaw"/>
    <tableColumn id="9" name="Weight [kg]"/>
    <tableColumn id="10" name="IdlePower [W]"/>
    <tableColumn id="11" name="ActivePower [W]"/>
  </tableColumns>
</table>
</file>

<file path=xl/tables/table6.xml><?xml version="1.0" encoding="utf-8"?>
<table xmlns="http://schemas.openxmlformats.org/spreadsheetml/2006/main" id="6" name="Table2913" displayName="Table2913" ref="A2:R2" headerRowCount="1" totalsRowCount="0" totalsRowShown="0">
  <autoFilter ref="A2:R2"/>
  <tableColumns count="18">
    <tableColumn id="1" name="ID"/>
    <tableColumn id="2" name="Name"/>
    <tableColumn id="3" name="Type"/>
    <tableColumn id="4" name="CruiseSpeed [m/s]"/>
    <tableColumn id="5" name="MaxSpeed [m/s]"/>
    <tableColumn id="6" name="EnableBarometer"/>
    <tableColumn id="7" name="Barometer"/>
    <tableColumn id="8" name="EnableIMU"/>
    <tableColumn id="9" name="IMU"/>
    <tableColumn id="10" name="EnableGPS"/>
    <tableColumn id="11" name="GPS"/>
    <tableColumn id="12" name="EnableMagnetometer"/>
    <tableColumn id="13" name="Magnetometer"/>
    <tableColumn id="14" name="BaseWeight [kg]"/>
    <tableColumn id="15" name="MaxPayloadWeight [kg]"/>
    <tableColumn id="16" name="HoverPower [W]"/>
    <tableColumn id="17" name="CruisePower [W]"/>
    <tableColumn id="18" name="LoadFactor [W/kg]"/>
  </tableColumns>
</table>
</file>

<file path=xl/tables/table7.xml><?xml version="1.0" encoding="utf-8"?>
<table xmlns="http://schemas.openxmlformats.org/spreadsheetml/2006/main" id="7" name="Table2_2" displayName="Table2_2" ref="A2:F3" headerRowCount="1" totalsRowCount="0" totalsRowShown="0">
  <autoFilter ref="A2:F3"/>
  <tableColumns count="6">
    <tableColumn id="1" name="ID"/>
    <tableColumn id="2" name="Name"/>
    <tableColumn id="3" name="ObservationSetID"/>
    <tableColumn id="4" name="MinTargetSize"/>
    <tableColumn id="5" name="MaxTargetSize"/>
    <tableColumn id="6" name="RefTargetSize"/>
  </tableColumns>
</table>
</file>

<file path=xl/tables/table8.xml><?xml version="1.0" encoding="utf-8"?>
<table xmlns="http://schemas.openxmlformats.org/spreadsheetml/2006/main" id="8" name="Table5" displayName="Table5" ref="A2:G2" headerRowCount="1" totalsRowCount="0" totalsRowShown="0">
  <autoFilter ref="A2:G2"/>
  <tableColumns count="7">
    <tableColumn id="1" name="ID"/>
    <tableColumn id="2" name="Name"/>
    <tableColumn id="3" name="TargetGroupID"/>
    <tableColumn id="4" name="Type"/>
    <tableColumn id="5" name="Count"/>
    <tableColumn id="6" name="Priority"/>
    <tableColumn id="7" name="TrajectoryFolder"/>
  </tableColumns>
</table>
</file>

<file path=xl/tables/table9.xml><?xml version="1.0" encoding="utf-8"?>
<table xmlns="http://schemas.openxmlformats.org/spreadsheetml/2006/main" id="9" name="Table6" displayName="Table6" ref="A2:D2" headerRowCount="1" totalsRowCount="0" totalsRowShown="0">
  <autoFilter ref="A2:D2"/>
  <tableColumns count="4">
    <tableColumn id="1" name="ID"/>
    <tableColumn id="2" name="Name"/>
    <tableColumn id="3" name="Geopoint"/>
    <tableColumn id="4" name="WindVel [m/s]"/>
  </tableColumns>
</table>
</file>

<file path=xl/tables/table10.xml><?xml version="1.0" encoding="utf-8"?>
<table xmlns="http://schemas.openxmlformats.org/spreadsheetml/2006/main" id="10" name="Table72" displayName="Table72" ref="A2:H2" headerRowCount="1" totalsRowCount="0" totalsRowShown="0">
  <autoFilter ref="A2:H2"/>
  <tableColumns count="8">
    <tableColumn id="1" name="X"/>
    <tableColumn id="2" name="ID"/>
    <tableColumn id="3" name="Name"/>
    <tableColumn id="4" name="EnvironmentID"/>
    <tableColumn id="5" name="TargetGroupID"/>
    <tableColumn id="6" name="AgentTeamID"/>
    <tableColumn id="7" name="HorizontalConstraint [m]"/>
    <tableColumn id="8" name="VerticalConstraint [m]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1"/>
  <sheetViews>
    <sheetView showFormulas="false" showGridLines="true" showRowColHeaders="true" showZeros="true" rightToLeft="false" tabSelected="false" showOutlineSymbols="true" defaultGridColor="true" view="normal" topLeftCell="C1" colorId="64" zoomScale="80" zoomScaleNormal="80" zoomScalePageLayoutView="100" workbookViewId="0">
      <selection pane="topLeft" activeCell="H13" activeCellId="0" sqref="H13"/>
    </sheetView>
  </sheetViews>
  <sheetFormatPr defaultColWidth="11" defaultRowHeight="21" zeroHeight="false" outlineLevelRow="0" outlineLevelCol="0"/>
  <cols>
    <col collapsed="false" customWidth="true" hidden="false" outlineLevel="0" max="1" min="1" style="1" width="9.75"/>
    <col collapsed="false" customWidth="true" hidden="false" outlineLevel="0" max="2" min="2" style="1" width="26.44"/>
    <col collapsed="false" customWidth="true" hidden="false" outlineLevel="0" max="3" min="3" style="2" width="54.08"/>
    <col collapsed="false" customWidth="true" hidden="false" outlineLevel="0" max="6" min="4" style="2" width="26.44"/>
    <col collapsed="false" customWidth="true" hidden="false" outlineLevel="0" max="7" min="7" style="2" width="29.87"/>
    <col collapsed="false" customWidth="true" hidden="false" outlineLevel="0" max="8" min="8" style="2" width="30.77"/>
    <col collapsed="false" customWidth="true" hidden="false" outlineLevel="0" max="9" min="9" style="2" width="26.66"/>
    <col collapsed="false" customWidth="true" hidden="false" outlineLevel="0" max="11" min="10" style="2" width="20.92"/>
    <col collapsed="false" customWidth="false" hidden="false" outlineLevel="0" max="16382" min="12" style="2" width="11"/>
    <col collapsed="false" customWidth="true" hidden="false" outlineLevel="0" max="16384" min="16383" style="3" width="10.49"/>
  </cols>
  <sheetData>
    <row r="1" customFormat="false" ht="54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7" customFormat="true" ht="40.5" hidden="false" customHeight="true" outlineLevel="0" collapsed="false">
      <c r="A2" s="5"/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5" t="s">
        <v>9</v>
      </c>
      <c r="K2" s="5" t="s">
        <v>10</v>
      </c>
      <c r="XFC2" s="3"/>
      <c r="XFD2" s="3"/>
    </row>
    <row r="3" s="3" customFormat="true" ht="27" hidden="false" customHeight="true" outlineLevel="0" collapsed="false">
      <c r="A3" s="8"/>
      <c r="B3" s="9" t="s">
        <v>11</v>
      </c>
      <c r="C3" s="10" t="s">
        <v>12</v>
      </c>
      <c r="D3" s="9" t="s">
        <v>13</v>
      </c>
      <c r="E3" s="9" t="s">
        <v>14</v>
      </c>
      <c r="F3" s="11" t="s">
        <v>15</v>
      </c>
      <c r="G3" s="11" t="s">
        <v>16</v>
      </c>
      <c r="H3" s="11" t="s">
        <v>17</v>
      </c>
      <c r="I3" s="11" t="s">
        <v>18</v>
      </c>
      <c r="J3" s="9" t="s">
        <v>19</v>
      </c>
      <c r="K3" s="9" t="s">
        <v>20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</row>
    <row r="4" s="3" customFormat="true" ht="27" hidden="false" customHeight="true" outlineLevel="0" collapsed="false">
      <c r="A4" s="8"/>
      <c r="B4" s="9" t="s">
        <v>21</v>
      </c>
      <c r="C4" s="10" t="s">
        <v>22</v>
      </c>
      <c r="D4" s="9" t="s">
        <v>13</v>
      </c>
      <c r="E4" s="9" t="s">
        <v>14</v>
      </c>
      <c r="F4" s="11" t="s">
        <v>23</v>
      </c>
      <c r="G4" s="11" t="s">
        <v>16</v>
      </c>
      <c r="H4" s="11" t="s">
        <v>17</v>
      </c>
      <c r="I4" s="11" t="s">
        <v>18</v>
      </c>
      <c r="J4" s="9" t="s">
        <v>19</v>
      </c>
      <c r="K4" s="9" t="s">
        <v>20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</row>
    <row r="5" s="3" customFormat="true" ht="27" hidden="false" customHeight="true" outlineLevel="0" collapsed="false">
      <c r="A5" s="8"/>
      <c r="B5" s="9" t="s">
        <v>24</v>
      </c>
      <c r="C5" s="10" t="s">
        <v>25</v>
      </c>
      <c r="D5" s="9" t="s">
        <v>13</v>
      </c>
      <c r="E5" s="9" t="s">
        <v>14</v>
      </c>
      <c r="F5" s="11" t="s">
        <v>26</v>
      </c>
      <c r="G5" s="11" t="s">
        <v>16</v>
      </c>
      <c r="H5" s="11" t="s">
        <v>17</v>
      </c>
      <c r="I5" s="11" t="s">
        <v>18</v>
      </c>
      <c r="J5" s="9" t="s">
        <v>19</v>
      </c>
      <c r="K5" s="9" t="s">
        <v>20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</row>
    <row r="6" s="3" customFormat="true" ht="27" hidden="false" customHeight="true" outlineLevel="0" collapsed="false">
      <c r="A6" s="8"/>
      <c r="B6" s="9" t="s">
        <v>27</v>
      </c>
      <c r="C6" s="10" t="s">
        <v>28</v>
      </c>
      <c r="D6" s="9" t="s">
        <v>13</v>
      </c>
      <c r="E6" s="9" t="s">
        <v>29</v>
      </c>
      <c r="F6" s="11" t="s">
        <v>15</v>
      </c>
      <c r="G6" s="11" t="s">
        <v>16</v>
      </c>
      <c r="H6" s="11" t="s">
        <v>17</v>
      </c>
      <c r="I6" s="11" t="s">
        <v>18</v>
      </c>
      <c r="J6" s="9" t="s">
        <v>19</v>
      </c>
      <c r="K6" s="9" t="s">
        <v>20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</row>
    <row r="7" s="3" customFormat="true" ht="27" hidden="false" customHeight="true" outlineLevel="0" collapsed="false">
      <c r="A7" s="8"/>
      <c r="B7" s="9" t="s">
        <v>30</v>
      </c>
      <c r="C7" s="10" t="s">
        <v>31</v>
      </c>
      <c r="D7" s="9" t="s">
        <v>13</v>
      </c>
      <c r="E7" s="9" t="s">
        <v>29</v>
      </c>
      <c r="F7" s="11" t="s">
        <v>23</v>
      </c>
      <c r="G7" s="11" t="s">
        <v>16</v>
      </c>
      <c r="H7" s="11" t="s">
        <v>17</v>
      </c>
      <c r="I7" s="11" t="s">
        <v>18</v>
      </c>
      <c r="J7" s="9" t="s">
        <v>19</v>
      </c>
      <c r="K7" s="9" t="s">
        <v>20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</row>
    <row r="8" s="3" customFormat="true" ht="27" hidden="false" customHeight="true" outlineLevel="0" collapsed="false">
      <c r="A8" s="8"/>
      <c r="B8" s="9" t="s">
        <v>32</v>
      </c>
      <c r="C8" s="10" t="s">
        <v>33</v>
      </c>
      <c r="D8" s="9" t="s">
        <v>13</v>
      </c>
      <c r="E8" s="9" t="s">
        <v>29</v>
      </c>
      <c r="F8" s="11" t="s">
        <v>26</v>
      </c>
      <c r="G8" s="11" t="s">
        <v>16</v>
      </c>
      <c r="H8" s="11" t="s">
        <v>17</v>
      </c>
      <c r="I8" s="11" t="s">
        <v>18</v>
      </c>
      <c r="J8" s="9" t="s">
        <v>19</v>
      </c>
      <c r="K8" s="9" t="s">
        <v>20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</row>
    <row r="9" s="3" customFormat="true" ht="27" hidden="false" customHeight="true" outlineLevel="0" collapsed="false">
      <c r="A9" s="8"/>
      <c r="B9" s="9" t="s">
        <v>34</v>
      </c>
      <c r="C9" s="10" t="s">
        <v>35</v>
      </c>
      <c r="D9" s="9" t="s">
        <v>13</v>
      </c>
      <c r="E9" s="9" t="s">
        <v>36</v>
      </c>
      <c r="F9" s="11" t="s">
        <v>15</v>
      </c>
      <c r="G9" s="11" t="s">
        <v>16</v>
      </c>
      <c r="H9" s="11" t="s">
        <v>17</v>
      </c>
      <c r="I9" s="11" t="s">
        <v>18</v>
      </c>
      <c r="J9" s="9" t="s">
        <v>19</v>
      </c>
      <c r="K9" s="9" t="s">
        <v>20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</row>
    <row r="10" s="3" customFormat="true" ht="27" hidden="false" customHeight="true" outlineLevel="0" collapsed="false">
      <c r="A10" s="8" t="s">
        <v>37</v>
      </c>
      <c r="B10" s="9" t="s">
        <v>38</v>
      </c>
      <c r="C10" s="10" t="s">
        <v>39</v>
      </c>
      <c r="D10" s="9" t="s">
        <v>13</v>
      </c>
      <c r="E10" s="9" t="s">
        <v>36</v>
      </c>
      <c r="F10" s="11" t="s">
        <v>23</v>
      </c>
      <c r="G10" s="11" t="s">
        <v>16</v>
      </c>
      <c r="H10" s="11" t="s">
        <v>17</v>
      </c>
      <c r="I10" s="11" t="s">
        <v>18</v>
      </c>
      <c r="J10" s="9" t="s">
        <v>19</v>
      </c>
      <c r="K10" s="9" t="s">
        <v>20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</row>
    <row r="11" s="3" customFormat="true" ht="27" hidden="false" customHeight="true" outlineLevel="0" collapsed="false">
      <c r="A11" s="8"/>
      <c r="B11" s="9" t="s">
        <v>40</v>
      </c>
      <c r="C11" s="10" t="s">
        <v>41</v>
      </c>
      <c r="D11" s="9" t="s">
        <v>13</v>
      </c>
      <c r="E11" s="9" t="s">
        <v>36</v>
      </c>
      <c r="F11" s="11" t="s">
        <v>26</v>
      </c>
      <c r="G11" s="11" t="s">
        <v>16</v>
      </c>
      <c r="H11" s="11" t="s">
        <v>17</v>
      </c>
      <c r="I11" s="11" t="s">
        <v>18</v>
      </c>
      <c r="J11" s="9" t="s">
        <v>19</v>
      </c>
      <c r="K11" s="9" t="s">
        <v>20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</row>
  </sheetData>
  <mergeCells count="1">
    <mergeCell ref="A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0" activeCellId="0" sqref="B10"/>
    </sheetView>
  </sheetViews>
  <sheetFormatPr defaultColWidth="11" defaultRowHeight="15.75" zeroHeight="false" outlineLevelRow="0" outlineLevelCol="0"/>
  <cols>
    <col collapsed="false" customWidth="true" hidden="false" outlineLevel="0" max="1" min="1" style="2" width="26.78"/>
    <col collapsed="false" customWidth="true" hidden="false" outlineLevel="0" max="2" min="2" style="2" width="33.54"/>
    <col collapsed="false" customWidth="true" hidden="false" outlineLevel="0" max="3" min="3" style="2" width="49.92"/>
    <col collapsed="false" customWidth="true" hidden="false" outlineLevel="0" max="4" min="4" style="2" width="26.78"/>
    <col collapsed="false" customWidth="false" hidden="false" outlineLevel="0" max="5" min="5" style="12" width="11"/>
    <col collapsed="false" customWidth="false" hidden="false" outlineLevel="0" max="16381" min="6" style="2" width="11"/>
    <col collapsed="false" customWidth="true" hidden="false" outlineLevel="0" max="16383" min="16382" style="3" width="10.49"/>
    <col collapsed="false" customWidth="true" hidden="false" outlineLevel="0" max="16384" min="16384" style="2" width="10.49"/>
  </cols>
  <sheetData>
    <row r="1" s="7" customFormat="true" ht="54" hidden="false" customHeight="true" outlineLevel="0" collapsed="false">
      <c r="A1" s="13" t="s">
        <v>0</v>
      </c>
      <c r="B1" s="13"/>
      <c r="C1" s="13"/>
      <c r="D1" s="13"/>
      <c r="E1" s="12"/>
      <c r="XFB1" s="3"/>
      <c r="XFC1" s="3"/>
      <c r="XFD1" s="2"/>
    </row>
    <row r="2" customFormat="false" ht="40.5" hidden="false" customHeight="true" outlineLevel="0" collapsed="false">
      <c r="A2" s="5" t="s">
        <v>1</v>
      </c>
      <c r="B2" s="5" t="s">
        <v>2</v>
      </c>
      <c r="C2" s="5" t="s">
        <v>42</v>
      </c>
      <c r="D2" s="5" t="s">
        <v>43</v>
      </c>
    </row>
    <row r="3" customFormat="false" ht="28.5" hidden="false" customHeight="true" outlineLevel="0" collapsed="false">
      <c r="A3" s="9" t="s">
        <v>13</v>
      </c>
      <c r="B3" s="9" t="s">
        <v>44</v>
      </c>
      <c r="C3" s="9" t="s">
        <v>45</v>
      </c>
      <c r="D3" s="14" t="s">
        <v>46</v>
      </c>
    </row>
    <row r="4" customFormat="false" ht="28.5" hidden="false" customHeight="true" outlineLevel="0" collapsed="false">
      <c r="A4" s="9" t="s">
        <v>47</v>
      </c>
      <c r="B4" s="9" t="s">
        <v>48</v>
      </c>
      <c r="C4" s="9" t="s">
        <v>45</v>
      </c>
      <c r="D4" s="14" t="s">
        <v>49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D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M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10" activeCellId="0" sqref="G10"/>
    </sheetView>
  </sheetViews>
  <sheetFormatPr defaultColWidth="11" defaultRowHeight="15.7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2" width="42.01"/>
    <col collapsed="false" customWidth="true" hidden="false" outlineLevel="0" max="6" min="3" style="2" width="26.66"/>
    <col collapsed="false" customWidth="true" hidden="false" outlineLevel="0" max="7" min="7" style="2" width="38.76"/>
    <col collapsed="false" customWidth="false" hidden="false" outlineLevel="0" max="64" min="8" style="2" width="11"/>
    <col collapsed="false" customWidth="false" hidden="false" outlineLevel="0" max="16384" min="66" style="2" width="11"/>
  </cols>
  <sheetData>
    <row r="1" customFormat="false" ht="54" hidden="false" customHeight="true" outlineLevel="0" collapsed="false">
      <c r="A1" s="13" t="s">
        <v>0</v>
      </c>
      <c r="B1" s="13"/>
      <c r="C1" s="13"/>
      <c r="D1" s="13"/>
      <c r="E1" s="13"/>
      <c r="F1" s="13"/>
      <c r="G1" s="13"/>
    </row>
    <row r="2" customFormat="false" ht="40.5" hidden="false" customHeight="true" outlineLevel="0" collapsed="false">
      <c r="A2" s="5" t="s">
        <v>1</v>
      </c>
      <c r="B2" s="5" t="s">
        <v>2</v>
      </c>
      <c r="C2" s="5" t="s">
        <v>4</v>
      </c>
      <c r="D2" s="5" t="s">
        <v>50</v>
      </c>
      <c r="E2" s="5" t="s">
        <v>51</v>
      </c>
      <c r="F2" s="5" t="s">
        <v>52</v>
      </c>
      <c r="G2" s="5" t="s">
        <v>53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3"/>
    </row>
    <row r="3" customFormat="false" ht="27" hidden="false" customHeight="true" outlineLevel="0" collapsed="false">
      <c r="A3" s="9" t="s">
        <v>54</v>
      </c>
      <c r="B3" s="9" t="s">
        <v>55</v>
      </c>
      <c r="C3" s="9" t="s">
        <v>14</v>
      </c>
      <c r="D3" s="9" t="s">
        <v>56</v>
      </c>
      <c r="E3" s="15" t="n">
        <v>16</v>
      </c>
      <c r="F3" s="9" t="s">
        <v>57</v>
      </c>
      <c r="G3" s="9" t="s">
        <v>58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3"/>
    </row>
    <row r="4" s="3" customFormat="true" ht="27" hidden="false" customHeight="true" outlineLevel="0" collapsed="false">
      <c r="A4" s="9" t="s">
        <v>59</v>
      </c>
      <c r="B4" s="9" t="s">
        <v>60</v>
      </c>
      <c r="C4" s="9" t="s">
        <v>29</v>
      </c>
      <c r="D4" s="9" t="s">
        <v>56</v>
      </c>
      <c r="E4" s="15" t="n">
        <v>16</v>
      </c>
      <c r="F4" s="9" t="s">
        <v>57</v>
      </c>
      <c r="G4" s="9" t="s">
        <v>61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</row>
    <row r="5" s="3" customFormat="true" ht="27" hidden="false" customHeight="true" outlineLevel="0" collapsed="false">
      <c r="A5" s="9" t="s">
        <v>62</v>
      </c>
      <c r="B5" s="9" t="s">
        <v>63</v>
      </c>
      <c r="C5" s="9" t="s">
        <v>36</v>
      </c>
      <c r="D5" s="9" t="s">
        <v>56</v>
      </c>
      <c r="E5" s="15" t="n">
        <v>16</v>
      </c>
      <c r="F5" s="9" t="s">
        <v>57</v>
      </c>
      <c r="G5" s="9" t="s">
        <v>64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G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5" activeCellId="0" sqref="B15"/>
    </sheetView>
  </sheetViews>
  <sheetFormatPr defaultColWidth="11" defaultRowHeight="15.7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12" width="38.28"/>
    <col collapsed="false" customWidth="true" hidden="false" outlineLevel="0" max="3" min="3" style="2" width="26.66"/>
    <col collapsed="false" customWidth="true" hidden="false" outlineLevel="0" max="4" min="4" style="12" width="26.66"/>
    <col collapsed="false" customWidth="true" hidden="false" outlineLevel="0" max="5" min="5" style="2" width="26.66"/>
    <col collapsed="false" customWidth="true" hidden="false" outlineLevel="0" max="6" min="6" style="2" width="29.22"/>
    <col collapsed="false" customWidth="true" hidden="false" outlineLevel="0" max="7" min="7" style="2" width="36.42"/>
    <col collapsed="false" customWidth="true" hidden="false" outlineLevel="0" max="9" min="8" style="2" width="26.66"/>
    <col collapsed="false" customWidth="true" hidden="false" outlineLevel="0" max="10" min="10" style="2" width="29.87"/>
    <col collapsed="false" customWidth="true" hidden="false" outlineLevel="0" max="11" min="11" style="2" width="11.44"/>
    <col collapsed="false" customWidth="false" hidden="false" outlineLevel="0" max="16" min="12" style="12" width="11"/>
    <col collapsed="false" customWidth="false" hidden="false" outlineLevel="0" max="16379" min="17" style="2" width="11"/>
    <col collapsed="false" customWidth="true" hidden="false" outlineLevel="0" max="16383" min="16380" style="3" width="10.49"/>
    <col collapsed="false" customWidth="true" hidden="false" outlineLevel="0" max="16384" min="16384" style="3" width="10.58"/>
  </cols>
  <sheetData>
    <row r="1" customFormat="false" ht="54" hidden="false" customHeight="true" outlineLevel="0" collapsed="false">
      <c r="A1" s="16" t="s">
        <v>65</v>
      </c>
      <c r="B1" s="16"/>
      <c r="C1" s="16"/>
      <c r="D1" s="16"/>
      <c r="E1" s="16"/>
      <c r="F1" s="16"/>
      <c r="G1" s="16"/>
      <c r="H1" s="16"/>
      <c r="I1" s="16"/>
      <c r="J1" s="16"/>
    </row>
    <row r="2" s="7" customFormat="true" ht="40.5" hidden="false" customHeight="true" outlineLevel="0" collapsed="false">
      <c r="A2" s="17" t="s">
        <v>1</v>
      </c>
      <c r="B2" s="17" t="s">
        <v>2</v>
      </c>
      <c r="C2" s="17" t="s">
        <v>5</v>
      </c>
      <c r="D2" s="17" t="s">
        <v>66</v>
      </c>
      <c r="E2" s="17" t="s">
        <v>67</v>
      </c>
      <c r="F2" s="17" t="s">
        <v>68</v>
      </c>
      <c r="G2" s="17" t="s">
        <v>69</v>
      </c>
      <c r="H2" s="17" t="s">
        <v>70</v>
      </c>
      <c r="I2" s="17" t="s">
        <v>71</v>
      </c>
      <c r="J2" s="17" t="s">
        <v>72</v>
      </c>
      <c r="L2" s="12"/>
      <c r="M2" s="12"/>
      <c r="N2" s="12"/>
      <c r="O2" s="12"/>
      <c r="P2" s="12"/>
      <c r="XEZ2" s="3"/>
      <c r="XFA2" s="3"/>
      <c r="XFB2" s="3"/>
      <c r="XFC2" s="3"/>
      <c r="XFD2" s="3"/>
    </row>
    <row r="3" customFormat="false" ht="27" hidden="false" customHeight="true" outlineLevel="0" collapsed="false">
      <c r="A3" s="18" t="s">
        <v>73</v>
      </c>
      <c r="B3" s="18" t="s">
        <v>74</v>
      </c>
      <c r="C3" s="18" t="s">
        <v>15</v>
      </c>
      <c r="D3" s="18" t="s">
        <v>75</v>
      </c>
      <c r="E3" s="18" t="s">
        <v>76</v>
      </c>
      <c r="F3" s="18" t="s">
        <v>77</v>
      </c>
      <c r="G3" s="18" t="s">
        <v>78</v>
      </c>
      <c r="H3" s="18" t="n">
        <v>300</v>
      </c>
      <c r="I3" s="18" t="n">
        <v>3</v>
      </c>
      <c r="J3" s="18" t="n">
        <v>12000</v>
      </c>
    </row>
    <row r="4" customFormat="false" ht="27" hidden="false" customHeight="true" outlineLevel="0" collapsed="false">
      <c r="A4" s="18" t="s">
        <v>79</v>
      </c>
      <c r="B4" s="18" t="s">
        <v>80</v>
      </c>
      <c r="C4" s="18" t="s">
        <v>15</v>
      </c>
      <c r="D4" s="18" t="s">
        <v>81</v>
      </c>
      <c r="E4" s="18" t="s">
        <v>76</v>
      </c>
      <c r="F4" s="18" t="s">
        <v>82</v>
      </c>
      <c r="G4" s="18" t="s">
        <v>78</v>
      </c>
      <c r="H4" s="18" t="n">
        <v>300</v>
      </c>
      <c r="I4" s="18" t="n">
        <v>3</v>
      </c>
      <c r="J4" s="18" t="n">
        <v>12000</v>
      </c>
    </row>
    <row r="5" customFormat="false" ht="27" hidden="false" customHeight="true" outlineLevel="0" collapsed="false">
      <c r="A5" s="18" t="s">
        <v>83</v>
      </c>
      <c r="B5" s="18" t="s">
        <v>84</v>
      </c>
      <c r="C5" s="18" t="s">
        <v>15</v>
      </c>
      <c r="D5" s="18" t="s">
        <v>85</v>
      </c>
      <c r="E5" s="18" t="s">
        <v>76</v>
      </c>
      <c r="F5" s="18" t="s">
        <v>86</v>
      </c>
      <c r="G5" s="18" t="s">
        <v>78</v>
      </c>
      <c r="H5" s="18" t="n">
        <v>300</v>
      </c>
      <c r="I5" s="18" t="n">
        <v>3</v>
      </c>
      <c r="J5" s="18" t="n">
        <v>12000</v>
      </c>
    </row>
    <row r="6" customFormat="false" ht="27" hidden="false" customHeight="true" outlineLevel="0" collapsed="false">
      <c r="A6" s="18" t="s">
        <v>87</v>
      </c>
      <c r="B6" s="18" t="s">
        <v>88</v>
      </c>
      <c r="C6" s="18" t="s">
        <v>23</v>
      </c>
      <c r="D6" s="18" t="s">
        <v>89</v>
      </c>
      <c r="E6" s="18" t="s">
        <v>76</v>
      </c>
      <c r="F6" s="18" t="s">
        <v>77</v>
      </c>
      <c r="G6" s="18" t="s">
        <v>78</v>
      </c>
      <c r="H6" s="18" t="n">
        <v>300</v>
      </c>
      <c r="I6" s="18" t="n">
        <v>3</v>
      </c>
      <c r="J6" s="18" t="n">
        <v>12000</v>
      </c>
    </row>
    <row r="7" customFormat="false" ht="27" hidden="false" customHeight="true" outlineLevel="0" collapsed="false">
      <c r="A7" s="18" t="s">
        <v>90</v>
      </c>
      <c r="B7" s="18" t="s">
        <v>91</v>
      </c>
      <c r="C7" s="18" t="s">
        <v>23</v>
      </c>
      <c r="D7" s="18" t="s">
        <v>92</v>
      </c>
      <c r="E7" s="18" t="s">
        <v>76</v>
      </c>
      <c r="F7" s="18" t="s">
        <v>82</v>
      </c>
      <c r="G7" s="18" t="s">
        <v>78</v>
      </c>
      <c r="H7" s="18" t="n">
        <v>300</v>
      </c>
      <c r="I7" s="18" t="n">
        <v>3</v>
      </c>
      <c r="J7" s="18" t="n">
        <v>12000</v>
      </c>
    </row>
    <row r="8" customFormat="false" ht="27" hidden="false" customHeight="true" outlineLevel="0" collapsed="false">
      <c r="A8" s="18" t="s">
        <v>93</v>
      </c>
      <c r="B8" s="18" t="s">
        <v>94</v>
      </c>
      <c r="C8" s="18" t="s">
        <v>23</v>
      </c>
      <c r="D8" s="18" t="s">
        <v>95</v>
      </c>
      <c r="E8" s="18" t="s">
        <v>76</v>
      </c>
      <c r="F8" s="18" t="s">
        <v>86</v>
      </c>
      <c r="G8" s="18" t="s">
        <v>78</v>
      </c>
      <c r="H8" s="18" t="n">
        <v>300</v>
      </c>
      <c r="I8" s="18" t="n">
        <v>3</v>
      </c>
      <c r="J8" s="18" t="n">
        <v>12000</v>
      </c>
    </row>
    <row r="9" customFormat="false" ht="27" hidden="false" customHeight="true" outlineLevel="0" collapsed="false">
      <c r="A9" s="18" t="s">
        <v>96</v>
      </c>
      <c r="B9" s="18" t="s">
        <v>97</v>
      </c>
      <c r="C9" s="18" t="s">
        <v>26</v>
      </c>
      <c r="D9" s="18" t="s">
        <v>98</v>
      </c>
      <c r="E9" s="18" t="s">
        <v>76</v>
      </c>
      <c r="F9" s="18" t="s">
        <v>77</v>
      </c>
      <c r="G9" s="18" t="s">
        <v>78</v>
      </c>
      <c r="H9" s="18" t="n">
        <v>300</v>
      </c>
      <c r="I9" s="18" t="n">
        <v>3</v>
      </c>
      <c r="J9" s="18" t="n">
        <v>12000</v>
      </c>
    </row>
    <row r="10" customFormat="false" ht="27" hidden="false" customHeight="true" outlineLevel="0" collapsed="false">
      <c r="A10" s="18" t="s">
        <v>99</v>
      </c>
      <c r="B10" s="18" t="s">
        <v>100</v>
      </c>
      <c r="C10" s="18" t="s">
        <v>26</v>
      </c>
      <c r="D10" s="18" t="s">
        <v>101</v>
      </c>
      <c r="E10" s="18" t="s">
        <v>76</v>
      </c>
      <c r="F10" s="18" t="s">
        <v>82</v>
      </c>
      <c r="G10" s="18" t="s">
        <v>78</v>
      </c>
      <c r="H10" s="18" t="n">
        <v>300</v>
      </c>
      <c r="I10" s="18" t="n">
        <v>3</v>
      </c>
      <c r="J10" s="18" t="n">
        <v>12000</v>
      </c>
    </row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</sheetData>
  <mergeCells count="1">
    <mergeCell ref="A1:J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12" activeCellId="0" sqref="D12"/>
    </sheetView>
  </sheetViews>
  <sheetFormatPr defaultColWidth="11" defaultRowHeight="1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12" width="38.28"/>
    <col collapsed="false" customWidth="true" hidden="false" outlineLevel="0" max="4" min="3" style="12" width="26.66"/>
    <col collapsed="false" customWidth="true" hidden="false" outlineLevel="0" max="5" min="5" style="2" width="26.66"/>
    <col collapsed="false" customWidth="true" hidden="false" outlineLevel="0" max="6" min="6" style="2" width="29.22"/>
    <col collapsed="false" customWidth="true" hidden="false" outlineLevel="0" max="7" min="7" style="2" width="26.66"/>
    <col collapsed="false" customWidth="false" hidden="false" outlineLevel="0" max="12" min="8" style="12" width="11"/>
    <col collapsed="false" customWidth="false" hidden="false" outlineLevel="0" max="16375" min="13" style="2" width="11"/>
    <col collapsed="false" customWidth="true" hidden="false" outlineLevel="0" max="16378" min="16376" style="2" width="10.49"/>
    <col collapsed="false" customWidth="true" hidden="false" outlineLevel="0" max="16379" min="16379" style="3" width="10.49"/>
    <col collapsed="false" customWidth="true" hidden="false" outlineLevel="0" max="16384" min="16380" style="12" width="10.49"/>
  </cols>
  <sheetData>
    <row r="1" customFormat="false" ht="54" hidden="false" customHeight="true" outlineLevel="0" collapsed="false">
      <c r="A1" s="16" t="s">
        <v>65</v>
      </c>
      <c r="B1" s="16"/>
      <c r="C1" s="16"/>
      <c r="D1" s="16"/>
      <c r="E1" s="16"/>
      <c r="F1" s="16"/>
    </row>
    <row r="2" s="7" customFormat="true" ht="40.5" hidden="false" customHeight="true" outlineLevel="0" collapsed="false">
      <c r="A2" s="17" t="s">
        <v>1</v>
      </c>
      <c r="B2" s="17" t="s">
        <v>2</v>
      </c>
      <c r="C2" s="17" t="s">
        <v>102</v>
      </c>
      <c r="D2" s="17" t="s">
        <v>103</v>
      </c>
      <c r="E2" s="17" t="s">
        <v>104</v>
      </c>
      <c r="F2" s="17" t="s">
        <v>105</v>
      </c>
      <c r="H2" s="12"/>
      <c r="I2" s="12"/>
      <c r="J2" s="12"/>
      <c r="K2" s="12"/>
      <c r="L2" s="12"/>
      <c r="XEY2" s="3"/>
      <c r="XEZ2" s="12"/>
      <c r="XFA2" s="12"/>
      <c r="XFB2" s="12"/>
      <c r="XFC2" s="12"/>
      <c r="XFD2" s="12"/>
    </row>
    <row r="3" s="12" customFormat="true" ht="27" hidden="false" customHeight="true" outlineLevel="0" collapsed="false">
      <c r="A3" s="18" t="s">
        <v>75</v>
      </c>
      <c r="B3" s="18" t="s">
        <v>106</v>
      </c>
      <c r="C3" s="18" t="s">
        <v>107</v>
      </c>
      <c r="D3" s="18" t="n">
        <v>0.2</v>
      </c>
      <c r="E3" s="18" t="n">
        <v>0.9</v>
      </c>
      <c r="F3" s="18" t="n">
        <v>0.8</v>
      </c>
      <c r="G3" s="2"/>
      <c r="XEV3" s="2"/>
      <c r="XEW3" s="2"/>
      <c r="XEX3" s="2"/>
      <c r="XEY3" s="3"/>
    </row>
    <row r="4" s="12" customFormat="true" ht="27" hidden="false" customHeight="true" outlineLevel="0" collapsed="false">
      <c r="A4" s="18" t="s">
        <v>81</v>
      </c>
      <c r="B4" s="18" t="s">
        <v>108</v>
      </c>
      <c r="C4" s="18" t="s">
        <v>109</v>
      </c>
      <c r="D4" s="18" t="n">
        <v>0.2</v>
      </c>
      <c r="E4" s="18" t="n">
        <v>0.9</v>
      </c>
      <c r="F4" s="18" t="n">
        <v>0.8</v>
      </c>
      <c r="G4" s="2"/>
      <c r="XEV4" s="2"/>
      <c r="XEW4" s="2"/>
      <c r="XEX4" s="2"/>
      <c r="XEY4" s="3"/>
    </row>
    <row r="5" s="12" customFormat="true" ht="27" hidden="false" customHeight="true" outlineLevel="0" collapsed="false">
      <c r="A5" s="18" t="s">
        <v>85</v>
      </c>
      <c r="B5" s="18" t="s">
        <v>110</v>
      </c>
      <c r="C5" s="18" t="s">
        <v>111</v>
      </c>
      <c r="D5" s="18" t="n">
        <v>0.2</v>
      </c>
      <c r="E5" s="18" t="n">
        <v>0.9</v>
      </c>
      <c r="F5" s="18" t="n">
        <v>0.8</v>
      </c>
      <c r="G5" s="2"/>
      <c r="XEV5" s="2"/>
      <c r="XEW5" s="2"/>
      <c r="XEX5" s="2"/>
      <c r="XEY5" s="3"/>
    </row>
    <row r="6" s="12" customFormat="true" ht="27" hidden="false" customHeight="true" outlineLevel="0" collapsed="false">
      <c r="A6" s="18" t="s">
        <v>89</v>
      </c>
      <c r="B6" s="18" t="s">
        <v>112</v>
      </c>
      <c r="C6" s="18" t="s">
        <v>113</v>
      </c>
      <c r="D6" s="18" t="n">
        <v>0.2</v>
      </c>
      <c r="E6" s="18" t="n">
        <v>0.9</v>
      </c>
      <c r="F6" s="18" t="n">
        <v>0.8</v>
      </c>
      <c r="G6" s="2"/>
      <c r="XEV6" s="2"/>
      <c r="XEW6" s="2"/>
      <c r="XEX6" s="2"/>
      <c r="XEY6" s="3"/>
    </row>
    <row r="7" s="12" customFormat="true" ht="27" hidden="false" customHeight="true" outlineLevel="0" collapsed="false">
      <c r="A7" s="18" t="s">
        <v>92</v>
      </c>
      <c r="B7" s="18" t="s">
        <v>114</v>
      </c>
      <c r="C7" s="18" t="s">
        <v>115</v>
      </c>
      <c r="D7" s="18" t="n">
        <v>0.2</v>
      </c>
      <c r="E7" s="18" t="n">
        <v>0.9</v>
      </c>
      <c r="F7" s="18" t="n">
        <v>0.8</v>
      </c>
      <c r="G7" s="2"/>
      <c r="XEV7" s="2"/>
      <c r="XEW7" s="2"/>
      <c r="XEX7" s="2"/>
      <c r="XEY7" s="3"/>
    </row>
    <row r="8" s="12" customFormat="true" ht="27" hidden="false" customHeight="true" outlineLevel="0" collapsed="false">
      <c r="A8" s="18" t="s">
        <v>95</v>
      </c>
      <c r="B8" s="18" t="s">
        <v>116</v>
      </c>
      <c r="C8" s="18" t="s">
        <v>117</v>
      </c>
      <c r="D8" s="18" t="n">
        <v>0.2</v>
      </c>
      <c r="E8" s="18" t="n">
        <v>0.9</v>
      </c>
      <c r="F8" s="18" t="n">
        <v>0.8</v>
      </c>
      <c r="G8" s="2"/>
      <c r="XEV8" s="2"/>
      <c r="XEW8" s="2"/>
      <c r="XEX8" s="2"/>
      <c r="XEY8" s="3"/>
    </row>
    <row r="9" s="12" customFormat="true" ht="27" hidden="false" customHeight="true" outlineLevel="0" collapsed="false">
      <c r="A9" s="18" t="s">
        <v>98</v>
      </c>
      <c r="B9" s="18" t="s">
        <v>118</v>
      </c>
      <c r="C9" s="18" t="s">
        <v>119</v>
      </c>
      <c r="D9" s="18" t="n">
        <v>0.2</v>
      </c>
      <c r="E9" s="18" t="n">
        <v>0.9</v>
      </c>
      <c r="F9" s="18" t="n">
        <v>0.8</v>
      </c>
      <c r="G9" s="2"/>
      <c r="XEV9" s="2"/>
      <c r="XEW9" s="2"/>
      <c r="XEX9" s="2"/>
      <c r="XEY9" s="3"/>
    </row>
    <row r="10" s="12" customFormat="true" ht="27" hidden="false" customHeight="true" outlineLevel="0" collapsed="false">
      <c r="A10" s="18" t="s">
        <v>101</v>
      </c>
      <c r="B10" s="18" t="s">
        <v>120</v>
      </c>
      <c r="C10" s="18" t="s">
        <v>121</v>
      </c>
      <c r="D10" s="18" t="n">
        <v>0.2</v>
      </c>
      <c r="E10" s="18" t="n">
        <v>0.9</v>
      </c>
      <c r="F10" s="18" t="n">
        <v>0.8</v>
      </c>
      <c r="G10" s="2"/>
      <c r="XEV10" s="2"/>
      <c r="XEW10" s="2"/>
      <c r="XEX10" s="2"/>
      <c r="XEY10" s="3"/>
    </row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F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9"/>
  <sheetViews>
    <sheetView showFormulas="false" showGridLines="true" showRowColHeaders="true" showZeros="true" rightToLeft="false" tabSelected="true" showOutlineSymbols="true" defaultGridColor="true" view="normal" topLeftCell="H1" colorId="64" zoomScale="80" zoomScaleNormal="80" zoomScalePageLayoutView="100" workbookViewId="0">
      <selection pane="topLeft" activeCell="L29" activeCellId="0" sqref="L29"/>
    </sheetView>
  </sheetViews>
  <sheetFormatPr defaultColWidth="11" defaultRowHeight="15.75" zeroHeight="false" outlineLevelRow="0" outlineLevelCol="0"/>
  <cols>
    <col collapsed="false" customWidth="true" hidden="false" outlineLevel="0" max="1" min="1" style="2" width="27.35"/>
    <col collapsed="false" customWidth="true" hidden="false" outlineLevel="0" max="2" min="2" style="2" width="45.28"/>
    <col collapsed="false" customWidth="true" hidden="false" outlineLevel="0" max="5" min="3" style="2" width="27.35"/>
    <col collapsed="false" customWidth="true" hidden="false" outlineLevel="0" max="7" min="6" style="12" width="27.35"/>
    <col collapsed="false" customWidth="true" hidden="false" outlineLevel="0" max="8" min="8" style="2" width="36.2"/>
    <col collapsed="false" customWidth="true" hidden="false" outlineLevel="0" max="11" min="9" style="2" width="27.35"/>
    <col collapsed="false" customWidth="true" hidden="false" outlineLevel="0" max="12" min="12" style="2" width="54.13"/>
    <col collapsed="false" customWidth="false" hidden="false" outlineLevel="0" max="16" min="13" style="12" width="11"/>
    <col collapsed="false" customWidth="false" hidden="false" outlineLevel="0" max="17" min="17" style="12" width="11.01"/>
    <col collapsed="false" customWidth="false" hidden="false" outlineLevel="0" max="16380" min="18" style="2" width="11"/>
    <col collapsed="false" customWidth="true" hidden="false" outlineLevel="0" max="16381" min="16381" style="12" width="10.58"/>
    <col collapsed="false" customWidth="true" hidden="false" outlineLevel="0" max="16383" min="16382" style="12" width="9.34"/>
    <col collapsed="false" customWidth="true" hidden="false" outlineLevel="0" max="16384" min="16384" style="2" width="9.34"/>
  </cols>
  <sheetData>
    <row r="1" customFormat="false" ht="54" hidden="false" customHeight="true" outlineLevel="0" collapsed="false">
      <c r="A1" s="16" t="s">
        <v>65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="7" customFormat="true" ht="40.5" hidden="false" customHeight="true" outlineLevel="0" collapsed="false">
      <c r="A2" s="17" t="s">
        <v>1</v>
      </c>
      <c r="B2" s="17" t="s">
        <v>2</v>
      </c>
      <c r="C2" s="17" t="s">
        <v>102</v>
      </c>
      <c r="D2" s="17" t="s">
        <v>122</v>
      </c>
      <c r="E2" s="17" t="s">
        <v>123</v>
      </c>
      <c r="F2" s="17" t="s">
        <v>124</v>
      </c>
      <c r="G2" s="17" t="s">
        <v>68</v>
      </c>
      <c r="H2" s="17" t="s">
        <v>69</v>
      </c>
      <c r="I2" s="17" t="s">
        <v>125</v>
      </c>
      <c r="J2" s="17" t="s">
        <v>126</v>
      </c>
      <c r="K2" s="17" t="s">
        <v>127</v>
      </c>
      <c r="L2" s="17" t="s">
        <v>128</v>
      </c>
      <c r="M2" s="12"/>
      <c r="N2" s="12"/>
      <c r="O2" s="12"/>
      <c r="P2" s="12"/>
      <c r="Q2" s="12"/>
      <c r="XFA2" s="12"/>
      <c r="XFB2" s="12"/>
      <c r="XFC2" s="12"/>
    </row>
    <row r="3" s="12" customFormat="true" ht="27" hidden="false" customHeight="true" outlineLevel="0" collapsed="false">
      <c r="A3" s="18" t="s">
        <v>129</v>
      </c>
      <c r="B3" s="18" t="s">
        <v>130</v>
      </c>
      <c r="C3" s="18" t="s">
        <v>107</v>
      </c>
      <c r="D3" s="18" t="s">
        <v>131</v>
      </c>
      <c r="E3" s="18" t="s">
        <v>132</v>
      </c>
      <c r="F3" s="18" t="s">
        <v>133</v>
      </c>
      <c r="G3" s="18" t="s">
        <v>134</v>
      </c>
      <c r="H3" s="18" t="s">
        <v>135</v>
      </c>
      <c r="I3" s="18" t="n">
        <v>1</v>
      </c>
      <c r="J3" s="18" t="n">
        <v>10</v>
      </c>
      <c r="K3" s="18" t="n">
        <v>3</v>
      </c>
      <c r="L3" s="18" t="s">
        <v>136</v>
      </c>
    </row>
    <row r="4" s="12" customFormat="true" ht="27" hidden="false" customHeight="true" outlineLevel="0" collapsed="false">
      <c r="A4" s="18" t="s">
        <v>137</v>
      </c>
      <c r="B4" s="18" t="s">
        <v>138</v>
      </c>
      <c r="C4" s="18" t="s">
        <v>107</v>
      </c>
      <c r="D4" s="18" t="s">
        <v>139</v>
      </c>
      <c r="E4" s="18" t="s">
        <v>132</v>
      </c>
      <c r="F4" s="18" t="s">
        <v>140</v>
      </c>
      <c r="G4" s="18" t="s">
        <v>141</v>
      </c>
      <c r="H4" s="18" t="s">
        <v>142</v>
      </c>
      <c r="I4" s="18" t="n">
        <v>1</v>
      </c>
      <c r="J4" s="18" t="n">
        <v>40</v>
      </c>
      <c r="K4" s="18" t="n">
        <v>10</v>
      </c>
      <c r="L4" s="18" t="s">
        <v>143</v>
      </c>
    </row>
    <row r="5" customFormat="false" ht="27" hidden="false" customHeight="true" outlineLevel="0" collapsed="false">
      <c r="A5" s="18" t="s">
        <v>144</v>
      </c>
      <c r="B5" s="18" t="s">
        <v>145</v>
      </c>
      <c r="C5" s="18" t="s">
        <v>107</v>
      </c>
      <c r="D5" s="18" t="s">
        <v>139</v>
      </c>
      <c r="E5" s="18" t="s">
        <v>132</v>
      </c>
      <c r="F5" s="18" t="s">
        <v>140</v>
      </c>
      <c r="G5" s="18" t="s">
        <v>146</v>
      </c>
      <c r="H5" s="18" t="s">
        <v>135</v>
      </c>
      <c r="I5" s="18" t="n">
        <v>1</v>
      </c>
      <c r="J5" s="18" t="n">
        <v>40</v>
      </c>
      <c r="K5" s="18" t="n">
        <v>10</v>
      </c>
      <c r="L5" s="18" t="s">
        <v>147</v>
      </c>
      <c r="XFD5" s="12"/>
    </row>
    <row r="6" s="12" customFormat="true" ht="27" hidden="false" customHeight="true" outlineLevel="0" collapsed="false">
      <c r="A6" s="18" t="s">
        <v>148</v>
      </c>
      <c r="B6" s="18" t="s">
        <v>149</v>
      </c>
      <c r="C6" s="18" t="s">
        <v>109</v>
      </c>
      <c r="D6" s="18" t="s">
        <v>131</v>
      </c>
      <c r="E6" s="18" t="s">
        <v>132</v>
      </c>
      <c r="F6" s="18" t="s">
        <v>133</v>
      </c>
      <c r="G6" s="18" t="s">
        <v>134</v>
      </c>
      <c r="H6" s="18" t="s">
        <v>135</v>
      </c>
      <c r="I6" s="18" t="n">
        <v>1</v>
      </c>
      <c r="J6" s="18" t="n">
        <v>10</v>
      </c>
      <c r="K6" s="18" t="n">
        <v>3</v>
      </c>
      <c r="L6" s="18" t="s">
        <v>150</v>
      </c>
    </row>
    <row r="7" s="12" customFormat="true" ht="27" hidden="false" customHeight="true" outlineLevel="0" collapsed="false">
      <c r="A7" s="18" t="s">
        <v>151</v>
      </c>
      <c r="B7" s="18" t="s">
        <v>152</v>
      </c>
      <c r="C7" s="18" t="s">
        <v>109</v>
      </c>
      <c r="D7" s="18" t="s">
        <v>139</v>
      </c>
      <c r="E7" s="18" t="s">
        <v>132</v>
      </c>
      <c r="F7" s="18" t="s">
        <v>140</v>
      </c>
      <c r="G7" s="18" t="s">
        <v>141</v>
      </c>
      <c r="H7" s="18" t="s">
        <v>142</v>
      </c>
      <c r="I7" s="18" t="n">
        <v>1</v>
      </c>
      <c r="J7" s="18" t="n">
        <v>40</v>
      </c>
      <c r="K7" s="18" t="n">
        <v>10</v>
      </c>
      <c r="L7" s="18" t="s">
        <v>153</v>
      </c>
    </row>
    <row r="8" s="12" customFormat="true" ht="27" hidden="false" customHeight="true" outlineLevel="0" collapsed="false">
      <c r="A8" s="18" t="s">
        <v>154</v>
      </c>
      <c r="B8" s="18" t="s">
        <v>155</v>
      </c>
      <c r="C8" s="18" t="s">
        <v>109</v>
      </c>
      <c r="D8" s="18" t="s">
        <v>139</v>
      </c>
      <c r="E8" s="18" t="s">
        <v>132</v>
      </c>
      <c r="F8" s="18" t="s">
        <v>140</v>
      </c>
      <c r="G8" s="18" t="s">
        <v>146</v>
      </c>
      <c r="H8" s="18" t="s">
        <v>135</v>
      </c>
      <c r="I8" s="18" t="n">
        <v>1</v>
      </c>
      <c r="J8" s="18" t="n">
        <v>40</v>
      </c>
      <c r="K8" s="18" t="n">
        <v>10</v>
      </c>
      <c r="L8" s="18" t="s">
        <v>156</v>
      </c>
    </row>
    <row r="9" s="12" customFormat="true" ht="27" hidden="false" customHeight="true" outlineLevel="0" collapsed="false">
      <c r="A9" s="18" t="s">
        <v>157</v>
      </c>
      <c r="B9" s="18" t="s">
        <v>158</v>
      </c>
      <c r="C9" s="18" t="s">
        <v>111</v>
      </c>
      <c r="D9" s="18" t="s">
        <v>131</v>
      </c>
      <c r="E9" s="18" t="s">
        <v>132</v>
      </c>
      <c r="F9" s="18" t="s">
        <v>133</v>
      </c>
      <c r="G9" s="18" t="s">
        <v>134</v>
      </c>
      <c r="H9" s="18" t="s">
        <v>135</v>
      </c>
      <c r="I9" s="18" t="n">
        <v>1</v>
      </c>
      <c r="J9" s="18" t="n">
        <v>10</v>
      </c>
      <c r="K9" s="18" t="n">
        <v>3</v>
      </c>
      <c r="L9" s="18" t="s">
        <v>159</v>
      </c>
      <c r="XFD9" s="2"/>
    </row>
    <row r="10" s="12" customFormat="true" ht="27" hidden="false" customHeight="true" outlineLevel="0" collapsed="false">
      <c r="A10" s="18" t="s">
        <v>160</v>
      </c>
      <c r="B10" s="18" t="s">
        <v>161</v>
      </c>
      <c r="C10" s="18" t="s">
        <v>111</v>
      </c>
      <c r="D10" s="18" t="s">
        <v>139</v>
      </c>
      <c r="E10" s="18" t="s">
        <v>132</v>
      </c>
      <c r="F10" s="18" t="s">
        <v>140</v>
      </c>
      <c r="G10" s="18" t="s">
        <v>141</v>
      </c>
      <c r="H10" s="18" t="s">
        <v>142</v>
      </c>
      <c r="I10" s="18" t="n">
        <v>1</v>
      </c>
      <c r="J10" s="18" t="n">
        <v>40</v>
      </c>
      <c r="K10" s="18" t="n">
        <v>10</v>
      </c>
      <c r="L10" s="18" t="s">
        <v>162</v>
      </c>
      <c r="XFD10" s="2"/>
    </row>
    <row r="11" s="12" customFormat="true" ht="27" hidden="false" customHeight="true" outlineLevel="0" collapsed="false">
      <c r="A11" s="18" t="s">
        <v>163</v>
      </c>
      <c r="B11" s="18" t="s">
        <v>164</v>
      </c>
      <c r="C11" s="18" t="s">
        <v>111</v>
      </c>
      <c r="D11" s="18" t="s">
        <v>139</v>
      </c>
      <c r="E11" s="18" t="s">
        <v>132</v>
      </c>
      <c r="F11" s="18" t="s">
        <v>140</v>
      </c>
      <c r="G11" s="18" t="s">
        <v>146</v>
      </c>
      <c r="H11" s="18" t="s">
        <v>135</v>
      </c>
      <c r="I11" s="18" t="n">
        <v>1</v>
      </c>
      <c r="J11" s="18" t="n">
        <v>40</v>
      </c>
      <c r="K11" s="18" t="n">
        <v>10</v>
      </c>
      <c r="L11" s="18" t="s">
        <v>165</v>
      </c>
      <c r="XFD11" s="2"/>
    </row>
    <row r="12" customFormat="false" ht="27" hidden="false" customHeight="true" outlineLevel="0" collapsed="false">
      <c r="A12" s="18" t="s">
        <v>166</v>
      </c>
      <c r="B12" s="18" t="s">
        <v>167</v>
      </c>
      <c r="C12" s="18" t="s">
        <v>113</v>
      </c>
      <c r="D12" s="18" t="s">
        <v>168</v>
      </c>
      <c r="E12" s="18" t="s">
        <v>132</v>
      </c>
      <c r="F12" s="18" t="s">
        <v>133</v>
      </c>
      <c r="G12" s="18" t="s">
        <v>146</v>
      </c>
      <c r="H12" s="18" t="s">
        <v>135</v>
      </c>
      <c r="I12" s="18" t="n">
        <v>1</v>
      </c>
      <c r="J12" s="18" t="n">
        <v>10</v>
      </c>
      <c r="K12" s="18" t="n">
        <v>3</v>
      </c>
      <c r="L12" s="18" t="s">
        <v>169</v>
      </c>
    </row>
    <row r="13" customFormat="false" ht="27" hidden="false" customHeight="true" outlineLevel="0" collapsed="false">
      <c r="A13" s="18" t="s">
        <v>170</v>
      </c>
      <c r="B13" s="18" t="s">
        <v>171</v>
      </c>
      <c r="C13" s="18" t="s">
        <v>115</v>
      </c>
      <c r="D13" s="18" t="s">
        <v>168</v>
      </c>
      <c r="E13" s="18" t="s">
        <v>132</v>
      </c>
      <c r="F13" s="18" t="s">
        <v>133</v>
      </c>
      <c r="G13" s="18" t="s">
        <v>146</v>
      </c>
      <c r="H13" s="18" t="s">
        <v>135</v>
      </c>
      <c r="I13" s="18" t="n">
        <v>1</v>
      </c>
      <c r="J13" s="18" t="n">
        <v>10</v>
      </c>
      <c r="K13" s="18" t="n">
        <v>3</v>
      </c>
      <c r="L13" s="18" t="s">
        <v>172</v>
      </c>
    </row>
    <row r="14" customFormat="false" ht="27" hidden="false" customHeight="true" outlineLevel="0" collapsed="false">
      <c r="A14" s="18" t="s">
        <v>173</v>
      </c>
      <c r="B14" s="18" t="s">
        <v>174</v>
      </c>
      <c r="C14" s="18" t="s">
        <v>117</v>
      </c>
      <c r="D14" s="18" t="s">
        <v>168</v>
      </c>
      <c r="E14" s="18" t="s">
        <v>132</v>
      </c>
      <c r="F14" s="18" t="s">
        <v>133</v>
      </c>
      <c r="G14" s="18" t="s">
        <v>146</v>
      </c>
      <c r="H14" s="18" t="s">
        <v>135</v>
      </c>
      <c r="I14" s="18" t="n">
        <v>1</v>
      </c>
      <c r="J14" s="18" t="n">
        <v>10</v>
      </c>
      <c r="K14" s="18" t="n">
        <v>3</v>
      </c>
      <c r="L14" s="18" t="s">
        <v>175</v>
      </c>
    </row>
    <row r="15" customFormat="false" ht="27" hidden="false" customHeight="true" outlineLevel="0" collapsed="false">
      <c r="A15" s="18" t="s">
        <v>176</v>
      </c>
      <c r="B15" s="18" t="s">
        <v>177</v>
      </c>
      <c r="C15" s="18" t="s">
        <v>119</v>
      </c>
      <c r="D15" s="18" t="s">
        <v>131</v>
      </c>
      <c r="E15" s="18" t="s">
        <v>132</v>
      </c>
      <c r="F15" s="18" t="s">
        <v>133</v>
      </c>
      <c r="G15" s="18" t="s">
        <v>134</v>
      </c>
      <c r="H15" s="18" t="s">
        <v>135</v>
      </c>
      <c r="I15" s="18" t="n">
        <v>1</v>
      </c>
      <c r="J15" s="18" t="n">
        <v>10</v>
      </c>
      <c r="K15" s="18" t="n">
        <v>3</v>
      </c>
      <c r="L15" s="18" t="s">
        <v>178</v>
      </c>
    </row>
    <row r="16" customFormat="false" ht="27" hidden="false" customHeight="true" outlineLevel="0" collapsed="false">
      <c r="A16" s="18" t="s">
        <v>179</v>
      </c>
      <c r="B16" s="18" t="s">
        <v>180</v>
      </c>
      <c r="C16" s="18" t="s">
        <v>119</v>
      </c>
      <c r="D16" s="18" t="s">
        <v>139</v>
      </c>
      <c r="E16" s="18" t="s">
        <v>132</v>
      </c>
      <c r="F16" s="18" t="s">
        <v>140</v>
      </c>
      <c r="G16" s="18" t="s">
        <v>141</v>
      </c>
      <c r="H16" s="18" t="s">
        <v>142</v>
      </c>
      <c r="I16" s="18" t="n">
        <v>1</v>
      </c>
      <c r="J16" s="18" t="n">
        <v>40</v>
      </c>
      <c r="K16" s="18" t="n">
        <v>10</v>
      </c>
      <c r="L16" s="18" t="s">
        <v>181</v>
      </c>
    </row>
    <row r="17" customFormat="false" ht="27" hidden="false" customHeight="true" outlineLevel="0" collapsed="false">
      <c r="A17" s="18" t="s">
        <v>182</v>
      </c>
      <c r="B17" s="18" t="s">
        <v>183</v>
      </c>
      <c r="C17" s="18" t="s">
        <v>119</v>
      </c>
      <c r="D17" s="18" t="s">
        <v>139</v>
      </c>
      <c r="E17" s="18" t="s">
        <v>132</v>
      </c>
      <c r="F17" s="18" t="s">
        <v>140</v>
      </c>
      <c r="G17" s="18" t="s">
        <v>146</v>
      </c>
      <c r="H17" s="18" t="s">
        <v>135</v>
      </c>
      <c r="I17" s="18" t="n">
        <v>1</v>
      </c>
      <c r="J17" s="18" t="n">
        <v>40</v>
      </c>
      <c r="K17" s="18" t="n">
        <v>10</v>
      </c>
      <c r="L17" s="18" t="s">
        <v>184</v>
      </c>
    </row>
    <row r="18" customFormat="false" ht="27" hidden="false" customHeight="true" outlineLevel="0" collapsed="false">
      <c r="A18" s="18" t="s">
        <v>185</v>
      </c>
      <c r="B18" s="18" t="s">
        <v>186</v>
      </c>
      <c r="C18" s="18" t="s">
        <v>119</v>
      </c>
      <c r="D18" s="18" t="s">
        <v>139</v>
      </c>
      <c r="E18" s="18" t="s">
        <v>132</v>
      </c>
      <c r="F18" s="18" t="s">
        <v>140</v>
      </c>
      <c r="G18" s="18" t="s">
        <v>187</v>
      </c>
      <c r="H18" s="18" t="s">
        <v>188</v>
      </c>
      <c r="I18" s="18" t="n">
        <v>1</v>
      </c>
      <c r="J18" s="18" t="n">
        <v>40</v>
      </c>
      <c r="K18" s="18" t="n">
        <v>10</v>
      </c>
      <c r="L18" s="18" t="s">
        <v>189</v>
      </c>
    </row>
    <row r="19" customFormat="false" ht="27" hidden="false" customHeight="true" outlineLevel="0" collapsed="false">
      <c r="A19" s="18" t="s">
        <v>190</v>
      </c>
      <c r="B19" s="18" t="s">
        <v>191</v>
      </c>
      <c r="C19" s="18" t="s">
        <v>121</v>
      </c>
      <c r="D19" s="18" t="s">
        <v>168</v>
      </c>
      <c r="E19" s="18" t="s">
        <v>132</v>
      </c>
      <c r="F19" s="18" t="s">
        <v>133</v>
      </c>
      <c r="G19" s="18" t="s">
        <v>146</v>
      </c>
      <c r="H19" s="18" t="s">
        <v>135</v>
      </c>
      <c r="I19" s="18" t="n">
        <v>1</v>
      </c>
      <c r="J19" s="18" t="n">
        <v>10</v>
      </c>
      <c r="K19" s="18" t="n">
        <v>3</v>
      </c>
      <c r="L19" s="18" t="s">
        <v>192</v>
      </c>
    </row>
  </sheetData>
  <mergeCells count="1">
    <mergeCell ref="A1:L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7"/>
  <sheetViews>
    <sheetView showFormulas="false" showGridLines="true" showRowColHeaders="true" showZeros="true" rightToLeft="false" tabSelected="false" showOutlineSymbols="true" defaultGridColor="true" view="normal" topLeftCell="B1" colorId="64" zoomScale="80" zoomScaleNormal="80" zoomScalePageLayoutView="100" workbookViewId="0">
      <selection pane="topLeft" activeCell="B32" activeCellId="0" sqref="B32"/>
    </sheetView>
  </sheetViews>
  <sheetFormatPr defaultColWidth="11" defaultRowHeight="15" zeroHeight="false" outlineLevelRow="0" outlineLevelCol="0"/>
  <cols>
    <col collapsed="false" customWidth="true" hidden="false" outlineLevel="0" max="1" min="1" style="2" width="27.35"/>
    <col collapsed="false" customWidth="true" hidden="false" outlineLevel="0" max="2" min="2" style="2" width="57.21"/>
    <col collapsed="false" customWidth="true" hidden="false" outlineLevel="0" max="5" min="3" style="2" width="27.35"/>
    <col collapsed="false" customWidth="true" hidden="false" outlineLevel="0" max="6" min="6" style="12" width="27.35"/>
    <col collapsed="false" customWidth="false" hidden="false" outlineLevel="0" max="16373" min="7" style="2" width="11"/>
    <col collapsed="false" customWidth="true" hidden="false" outlineLevel="0" max="16382" min="16374" style="3" width="10.49"/>
    <col collapsed="false" customWidth="true" hidden="false" outlineLevel="0" max="16383" min="16383" style="3" width="10.58"/>
    <col collapsed="false" customWidth="true" hidden="false" outlineLevel="0" max="16384" min="16384" style="3" width="9.34"/>
  </cols>
  <sheetData>
    <row r="1" customFormat="false" ht="54" hidden="false" customHeight="true" outlineLevel="0" collapsed="false">
      <c r="A1" s="16" t="s">
        <v>65</v>
      </c>
      <c r="B1" s="16"/>
      <c r="C1" s="16"/>
      <c r="D1" s="16"/>
      <c r="E1" s="16"/>
      <c r="F1" s="16"/>
    </row>
    <row r="2" s="7" customFormat="true" ht="40.5" hidden="false" customHeight="true" outlineLevel="0" collapsed="false">
      <c r="A2" s="17" t="s">
        <v>1</v>
      </c>
      <c r="B2" s="17" t="s">
        <v>2</v>
      </c>
      <c r="C2" s="17" t="s">
        <v>102</v>
      </c>
      <c r="D2" s="17" t="s">
        <v>193</v>
      </c>
      <c r="E2" s="17" t="s">
        <v>194</v>
      </c>
      <c r="F2" s="17" t="s">
        <v>195</v>
      </c>
      <c r="XET2" s="3"/>
      <c r="XEU2" s="3"/>
      <c r="XEV2" s="3"/>
      <c r="XEW2" s="3"/>
      <c r="XEX2" s="3"/>
      <c r="XEY2" s="3"/>
      <c r="XEZ2" s="3"/>
      <c r="XFA2" s="3"/>
      <c r="XFB2" s="3"/>
      <c r="XFC2" s="3"/>
      <c r="XFD2" s="3"/>
    </row>
    <row r="3" customFormat="false" ht="27" hidden="false" customHeight="true" outlineLevel="0" collapsed="false">
      <c r="A3" s="18" t="s">
        <v>196</v>
      </c>
      <c r="B3" s="18" t="s">
        <v>197</v>
      </c>
      <c r="C3" s="18" t="s">
        <v>113</v>
      </c>
      <c r="D3" s="18" t="n">
        <v>0.25</v>
      </c>
      <c r="E3" s="18" t="n">
        <v>1</v>
      </c>
      <c r="F3" s="18" t="n">
        <v>0.625</v>
      </c>
    </row>
    <row r="4" customFormat="false" ht="27" hidden="false" customHeight="true" outlineLevel="0" collapsed="false">
      <c r="A4" s="18" t="s">
        <v>198</v>
      </c>
      <c r="B4" s="18" t="s">
        <v>199</v>
      </c>
      <c r="C4" s="18" t="s">
        <v>113</v>
      </c>
      <c r="D4" s="18" t="n">
        <v>0.25</v>
      </c>
      <c r="E4" s="18" t="n">
        <v>1</v>
      </c>
      <c r="F4" s="18" t="n">
        <v>0.625</v>
      </c>
    </row>
    <row r="5" customFormat="false" ht="27" hidden="false" customHeight="true" outlineLevel="0" collapsed="false">
      <c r="A5" s="18" t="s">
        <v>200</v>
      </c>
      <c r="B5" s="18" t="s">
        <v>201</v>
      </c>
      <c r="C5" s="18" t="s">
        <v>115</v>
      </c>
      <c r="D5" s="18" t="n">
        <v>0.25</v>
      </c>
      <c r="E5" s="18" t="n">
        <v>1</v>
      </c>
      <c r="F5" s="18" t="n">
        <v>0.625</v>
      </c>
    </row>
    <row r="6" customFormat="false" ht="27" hidden="false" customHeight="true" outlineLevel="0" collapsed="false">
      <c r="A6" s="18" t="s">
        <v>202</v>
      </c>
      <c r="B6" s="18" t="s">
        <v>203</v>
      </c>
      <c r="C6" s="18" t="s">
        <v>115</v>
      </c>
      <c r="D6" s="18" t="n">
        <v>0.25</v>
      </c>
      <c r="E6" s="18" t="n">
        <v>1</v>
      </c>
      <c r="F6" s="18" t="n">
        <v>0.625</v>
      </c>
    </row>
    <row r="7" customFormat="false" ht="27" hidden="false" customHeight="true" outlineLevel="0" collapsed="false">
      <c r="A7" s="18" t="s">
        <v>204</v>
      </c>
      <c r="B7" s="18" t="s">
        <v>205</v>
      </c>
      <c r="C7" s="18" t="s">
        <v>117</v>
      </c>
      <c r="D7" s="18" t="n">
        <v>0.25</v>
      </c>
      <c r="E7" s="18" t="n">
        <v>1</v>
      </c>
      <c r="F7" s="18" t="n">
        <v>0.625</v>
      </c>
    </row>
    <row r="8" customFormat="false" ht="27" hidden="false" customHeight="true" outlineLevel="0" collapsed="false">
      <c r="A8" s="18" t="s">
        <v>206</v>
      </c>
      <c r="B8" s="18" t="s">
        <v>207</v>
      </c>
      <c r="C8" s="18" t="s">
        <v>117</v>
      </c>
      <c r="D8" s="18" t="n">
        <v>0.25</v>
      </c>
      <c r="E8" s="18" t="n">
        <v>1</v>
      </c>
      <c r="F8" s="18" t="n">
        <v>0.625</v>
      </c>
    </row>
    <row r="9" customFormat="false" ht="27" hidden="false" customHeight="true" outlineLevel="0" collapsed="false">
      <c r="A9" s="18" t="s">
        <v>208</v>
      </c>
      <c r="B9" s="18" t="s">
        <v>209</v>
      </c>
      <c r="C9" s="18" t="s">
        <v>121</v>
      </c>
      <c r="D9" s="18" t="n">
        <v>0.25</v>
      </c>
      <c r="E9" s="18" t="n">
        <v>1</v>
      </c>
      <c r="F9" s="18" t="n">
        <v>0.625</v>
      </c>
    </row>
    <row r="10" customFormat="false" ht="27" hidden="false" customHeight="true" outlineLevel="0" collapsed="false">
      <c r="A10" s="18" t="s">
        <v>210</v>
      </c>
      <c r="B10" s="18" t="s">
        <v>211</v>
      </c>
      <c r="C10" s="18" t="s">
        <v>121</v>
      </c>
      <c r="D10" s="18" t="n">
        <v>0.25</v>
      </c>
      <c r="E10" s="18" t="n">
        <v>1</v>
      </c>
      <c r="F10" s="18" t="n">
        <v>0.625</v>
      </c>
    </row>
    <row r="11" customFormat="false" ht="27" hidden="false" customHeight="true" outlineLevel="0" collapsed="false">
      <c r="A11" s="18" t="s">
        <v>212</v>
      </c>
      <c r="B11" s="18" t="s">
        <v>213</v>
      </c>
      <c r="C11" s="18" t="s">
        <v>121</v>
      </c>
      <c r="D11" s="18" t="n">
        <v>0.25</v>
      </c>
      <c r="E11" s="18" t="n">
        <v>1</v>
      </c>
      <c r="F11" s="18" t="n">
        <v>0.625</v>
      </c>
    </row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7" activeCellId="0" sqref="B7"/>
    </sheetView>
  </sheetViews>
  <sheetFormatPr defaultColWidth="11" defaultRowHeight="15.75" zeroHeight="false" outlineLevelRow="0" outlineLevelCol="0"/>
  <cols>
    <col collapsed="false" customWidth="true" hidden="false" outlineLevel="0" max="5" min="1" style="2" width="26.66"/>
    <col collapsed="false" customWidth="true" hidden="false" outlineLevel="0" max="6" min="6" style="2" width="34.63"/>
    <col collapsed="false" customWidth="true" hidden="false" outlineLevel="0" max="7" min="7" style="2" width="35.21"/>
    <col collapsed="false" customWidth="true" hidden="false" outlineLevel="0" max="8" min="8" style="2" width="28.82"/>
    <col collapsed="false" customWidth="true" hidden="false" outlineLevel="0" max="9" min="9" style="2" width="64.32"/>
    <col collapsed="false" customWidth="true" hidden="false" outlineLevel="0" max="10" min="10" style="2" width="29.26"/>
    <col collapsed="false" customWidth="true" hidden="false" outlineLevel="0" max="11" min="11" style="12" width="51.08"/>
    <col collapsed="false" customWidth="true" hidden="false" outlineLevel="0" max="12" min="12" style="12" width="37.81"/>
    <col collapsed="false" customWidth="true" hidden="false" outlineLevel="0" max="13" min="13" style="2" width="54.15"/>
    <col collapsed="false" customWidth="true" hidden="false" outlineLevel="0" max="14" min="14" style="2" width="26.66"/>
    <col collapsed="false" customWidth="true" hidden="false" outlineLevel="0" max="15" min="15" style="12" width="26.66"/>
    <col collapsed="false" customWidth="true" hidden="false" outlineLevel="0" max="18" min="16" style="2" width="26.66"/>
    <col collapsed="false" customWidth="false" hidden="false" outlineLevel="0" max="16384" min="19" style="2" width="11"/>
  </cols>
  <sheetData>
    <row r="1" customFormat="false" ht="54" hidden="false" customHeight="true" outlineLevel="0" collapsed="false">
      <c r="A1" s="19" t="s">
        <v>214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customFormat="false" ht="40.5" hidden="false" customHeight="true" outlineLevel="0" collapsed="false">
      <c r="A2" s="20" t="s">
        <v>1</v>
      </c>
      <c r="B2" s="20" t="s">
        <v>2</v>
      </c>
      <c r="C2" s="20" t="s">
        <v>50</v>
      </c>
      <c r="D2" s="20" t="s">
        <v>215</v>
      </c>
      <c r="E2" s="20" t="s">
        <v>216</v>
      </c>
      <c r="F2" s="20" t="s">
        <v>217</v>
      </c>
      <c r="G2" s="20" t="s">
        <v>218</v>
      </c>
      <c r="H2" s="20" t="s">
        <v>219</v>
      </c>
      <c r="I2" s="20" t="s">
        <v>220</v>
      </c>
      <c r="J2" s="20" t="s">
        <v>221</v>
      </c>
      <c r="K2" s="20" t="s">
        <v>222</v>
      </c>
      <c r="L2" s="20" t="s">
        <v>223</v>
      </c>
      <c r="M2" s="20" t="s">
        <v>224</v>
      </c>
      <c r="N2" s="20" t="s">
        <v>225</v>
      </c>
      <c r="O2" s="20" t="s">
        <v>226</v>
      </c>
      <c r="P2" s="20" t="s">
        <v>227</v>
      </c>
      <c r="Q2" s="20" t="s">
        <v>228</v>
      </c>
      <c r="R2" s="20" t="s">
        <v>229</v>
      </c>
    </row>
    <row r="3" customFormat="false" ht="27" hidden="false" customHeight="true" outlineLevel="0" collapsed="false">
      <c r="A3" s="21" t="s">
        <v>76</v>
      </c>
      <c r="B3" s="21" t="s">
        <v>230</v>
      </c>
      <c r="C3" s="21" t="s">
        <v>231</v>
      </c>
      <c r="D3" s="21" t="n">
        <v>8</v>
      </c>
      <c r="E3" s="21" t="n">
        <v>12</v>
      </c>
      <c r="F3" s="22" t="b">
        <f aca="false">TRUE()</f>
        <v>1</v>
      </c>
      <c r="G3" s="21" t="s">
        <v>232</v>
      </c>
      <c r="H3" s="22" t="b">
        <f aca="false">TRUE()</f>
        <v>1</v>
      </c>
      <c r="I3" s="21" t="s">
        <v>233</v>
      </c>
      <c r="J3" s="22" t="b">
        <f aca="false">TRUE()</f>
        <v>1</v>
      </c>
      <c r="K3" s="21" t="s">
        <v>234</v>
      </c>
      <c r="L3" s="22" t="b">
        <f aca="false">TRUE()</f>
        <v>1</v>
      </c>
      <c r="M3" s="21" t="s">
        <v>235</v>
      </c>
      <c r="N3" s="21" t="n">
        <v>6.5</v>
      </c>
      <c r="O3" s="21" t="n">
        <v>2.5</v>
      </c>
      <c r="P3" s="21" t="n">
        <v>400</v>
      </c>
      <c r="Q3" s="21" t="n">
        <v>350</v>
      </c>
      <c r="R3" s="21" t="n">
        <v>25</v>
      </c>
    </row>
    <row r="4" customFormat="false" ht="22.5" hidden="false" customHeight="true" outlineLevel="0" collapsed="false"/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R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5" activeCellId="0" sqref="D5"/>
    </sheetView>
  </sheetViews>
  <sheetFormatPr defaultColWidth="11" defaultRowHeight="15.7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2" width="63.93"/>
    <col collapsed="false" customWidth="true" hidden="false" outlineLevel="0" max="5" min="3" style="2" width="26.66"/>
    <col collapsed="false" customWidth="true" hidden="false" outlineLevel="0" max="6" min="6" style="2" width="54.46"/>
    <col collapsed="false" customWidth="true" hidden="false" outlineLevel="0" max="7" min="7" style="2" width="30.03"/>
    <col collapsed="false" customWidth="true" hidden="false" outlineLevel="0" max="8" min="8" style="2" width="68.89"/>
    <col collapsed="false" customWidth="true" hidden="false" outlineLevel="0" max="9" min="9" style="2" width="26.66"/>
    <col collapsed="false" customWidth="true" hidden="false" outlineLevel="0" max="10" min="10" style="2" width="30.44"/>
    <col collapsed="false" customWidth="true" hidden="false" outlineLevel="0" max="11" min="11" style="2" width="26.66"/>
    <col collapsed="false" customWidth="false" hidden="false" outlineLevel="0" max="16381" min="12" style="2" width="11"/>
    <col collapsed="false" customWidth="true" hidden="false" outlineLevel="0" max="16384" min="16382" style="3" width="10.49"/>
  </cols>
  <sheetData>
    <row r="1" customFormat="false" ht="54" hidden="false" customHeight="true" outlineLevel="0" collapsed="false">
      <c r="A1" s="19" t="s">
        <v>214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="7" customFormat="true" ht="40.5" hidden="false" customHeight="true" outlineLevel="0" collapsed="false">
      <c r="A2" s="20" t="s">
        <v>1</v>
      </c>
      <c r="B2" s="20" t="s">
        <v>2</v>
      </c>
      <c r="C2" s="20" t="s">
        <v>50</v>
      </c>
      <c r="D2" s="20" t="s">
        <v>236</v>
      </c>
      <c r="E2" s="20" t="s">
        <v>237</v>
      </c>
      <c r="F2" s="20" t="s">
        <v>238</v>
      </c>
      <c r="G2" s="20" t="s">
        <v>239</v>
      </c>
      <c r="H2" s="20" t="s">
        <v>240</v>
      </c>
      <c r="I2" s="20" t="s">
        <v>241</v>
      </c>
      <c r="J2" s="20" t="s">
        <v>242</v>
      </c>
      <c r="K2" s="20" t="s">
        <v>243</v>
      </c>
      <c r="XFB2" s="3"/>
      <c r="XFC2" s="3"/>
      <c r="XFD2" s="3"/>
    </row>
    <row r="3" customFormat="false" ht="27" hidden="false" customHeight="true" outlineLevel="0" collapsed="false">
      <c r="A3" s="21" t="s">
        <v>131</v>
      </c>
      <c r="B3" s="21" t="s">
        <v>244</v>
      </c>
      <c r="C3" s="21" t="s">
        <v>245</v>
      </c>
      <c r="D3" s="21" t="s">
        <v>246</v>
      </c>
      <c r="E3" s="21" t="s">
        <v>247</v>
      </c>
      <c r="F3" s="21" t="s">
        <v>248</v>
      </c>
      <c r="G3" s="22" t="b">
        <f aca="false">TRUE()</f>
        <v>1</v>
      </c>
      <c r="H3" s="21" t="s">
        <v>249</v>
      </c>
      <c r="I3" s="21" t="n">
        <v>0.5</v>
      </c>
      <c r="J3" s="21" t="n">
        <v>2</v>
      </c>
      <c r="K3" s="21" t="n">
        <v>5</v>
      </c>
    </row>
    <row r="4" customFormat="false" ht="27" hidden="false" customHeight="true" outlineLevel="0" collapsed="false">
      <c r="A4" s="21" t="s">
        <v>139</v>
      </c>
      <c r="B4" s="21" t="s">
        <v>250</v>
      </c>
      <c r="C4" s="21" t="s">
        <v>245</v>
      </c>
      <c r="D4" s="21" t="s">
        <v>251</v>
      </c>
      <c r="E4" s="21" t="s">
        <v>247</v>
      </c>
      <c r="F4" s="21" t="s">
        <v>248</v>
      </c>
      <c r="G4" s="22" t="b">
        <f aca="false">TRUE()</f>
        <v>1</v>
      </c>
      <c r="H4" s="21" t="s">
        <v>249</v>
      </c>
      <c r="I4" s="21" t="n">
        <v>0.5</v>
      </c>
      <c r="J4" s="21" t="n">
        <v>2</v>
      </c>
      <c r="K4" s="21" t="n">
        <v>5</v>
      </c>
    </row>
    <row r="5" customFormat="false" ht="27" hidden="false" customHeight="true" outlineLevel="0" collapsed="false">
      <c r="A5" s="21" t="s">
        <v>168</v>
      </c>
      <c r="B5" s="21" t="s">
        <v>252</v>
      </c>
      <c r="C5" s="21" t="s">
        <v>245</v>
      </c>
      <c r="D5" s="21" t="s">
        <v>253</v>
      </c>
      <c r="E5" s="21" t="s">
        <v>247</v>
      </c>
      <c r="F5" s="21" t="s">
        <v>254</v>
      </c>
      <c r="G5" s="22" t="b">
        <f aca="false">TRUE()</f>
        <v>1</v>
      </c>
      <c r="H5" s="21" t="s">
        <v>255</v>
      </c>
      <c r="I5" s="21" t="n">
        <v>0.5</v>
      </c>
      <c r="J5" s="21" t="n">
        <v>2</v>
      </c>
      <c r="K5" s="21" t="n">
        <v>5</v>
      </c>
    </row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30" activeCellId="0" sqref="D30"/>
    </sheetView>
  </sheetViews>
  <sheetFormatPr defaultColWidth="11" defaultRowHeight="15.75" zeroHeight="false" outlineLevelRow="0" outlineLevelCol="0"/>
  <cols>
    <col collapsed="false" customWidth="true" hidden="false" outlineLevel="0" max="3" min="1" style="2" width="29.34"/>
    <col collapsed="false" customWidth="true" hidden="false" outlineLevel="0" max="4" min="4" style="2" width="40.25"/>
    <col collapsed="false" customWidth="true" hidden="false" outlineLevel="0" max="5" min="5" style="2" width="29.34"/>
    <col collapsed="false" customWidth="true" hidden="false" outlineLevel="0" max="6" min="6" style="2" width="40.25"/>
    <col collapsed="false" customWidth="true" hidden="false" outlineLevel="0" max="7" min="7" style="2" width="29.34"/>
    <col collapsed="false" customWidth="true" hidden="false" outlineLevel="0" max="8" min="8" style="2" width="40.25"/>
    <col collapsed="false" customWidth="true" hidden="false" outlineLevel="0" max="11" min="9" style="2" width="29.34"/>
    <col collapsed="false" customWidth="false" hidden="false" outlineLevel="0" max="12" min="12" style="12" width="11"/>
    <col collapsed="false" customWidth="false" hidden="false" outlineLevel="0" max="16383" min="13" style="2" width="11"/>
  </cols>
  <sheetData>
    <row r="1" customFormat="false" ht="54" hidden="false" customHeight="true" outlineLevel="0" collapsed="false">
      <c r="A1" s="19" t="s">
        <v>214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="7" customFormat="true" ht="40.5" hidden="false" customHeight="true" outlineLevel="0" collapsed="false">
      <c r="A2" s="20" t="s">
        <v>1</v>
      </c>
      <c r="B2" s="20" t="s">
        <v>2</v>
      </c>
      <c r="C2" s="20" t="s">
        <v>256</v>
      </c>
      <c r="D2" s="20" t="s">
        <v>257</v>
      </c>
      <c r="E2" s="20" t="s">
        <v>258</v>
      </c>
      <c r="F2" s="20" t="s">
        <v>259</v>
      </c>
      <c r="G2" s="20" t="s">
        <v>260</v>
      </c>
      <c r="H2" s="20" t="s">
        <v>261</v>
      </c>
      <c r="I2" s="20" t="s">
        <v>241</v>
      </c>
      <c r="J2" s="20" t="s">
        <v>242</v>
      </c>
      <c r="K2" s="20" t="s">
        <v>243</v>
      </c>
      <c r="L2" s="12"/>
      <c r="XFD2" s="3"/>
    </row>
    <row r="3" customFormat="false" ht="27" hidden="false" customHeight="true" outlineLevel="0" collapsed="false">
      <c r="A3" s="21" t="s">
        <v>132</v>
      </c>
      <c r="B3" s="21" t="s">
        <v>262</v>
      </c>
      <c r="C3" s="22" t="b">
        <f aca="false">TRUE()</f>
        <v>1</v>
      </c>
      <c r="D3" s="21" t="s">
        <v>263</v>
      </c>
      <c r="E3" s="22" t="b">
        <f aca="false">TRUE()</f>
        <v>1</v>
      </c>
      <c r="F3" s="21" t="s">
        <v>264</v>
      </c>
      <c r="G3" s="22" t="b">
        <f aca="false">TRUE()</f>
        <v>1</v>
      </c>
      <c r="H3" s="21" t="s">
        <v>265</v>
      </c>
      <c r="I3" s="21" t="n">
        <v>0.4</v>
      </c>
      <c r="J3" s="21" t="n">
        <v>5</v>
      </c>
      <c r="K3" s="21" t="n">
        <v>15</v>
      </c>
    </row>
    <row r="4" customFormat="false" ht="22.5" hidden="false" customHeight="true" outlineLevel="0" collapsed="false"/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048576" customFormat="false" ht="12.8" hidden="false" customHeight="false" outlineLevel="0" collapsed="false"/>
  </sheetData>
  <mergeCells count="1">
    <mergeCell ref="A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5686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2024-03-15T09:05:44Z</dcterms:created>
  <dc:creator>Microsoft Office User</dc:creator>
  <dc:description/>
  <dc:language>en-US</dc:language>
  <cp:lastModifiedBy/>
  <cp:lastPrinted>2024-12-15T21:14:18Z</cp:lastPrinted>
  <dcterms:modified xsi:type="dcterms:W3CDTF">2026-06-07T23:00:30Z</dcterms:modified>
  <cp:revision>1115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